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10" codeName="{00000000-0000-0000-0000-000000000000}"/>
  <workbookPr codeName="ThisWorkbook" hidePivotFieldList="1"/>
  <mc:AlternateContent xmlns:mc="http://schemas.openxmlformats.org/markup-compatibility/2006">
    <mc:Choice Requires="x15">
      <x15ac:absPath xmlns:x15ac="http://schemas.microsoft.com/office/spreadsheetml/2010/11/ac" url="C:\Datos\Trabajo\educación\UADE-2024-2025-2026.Dirección de Proyectos\5-Enunciado TP_Templates\"/>
    </mc:Choice>
  </mc:AlternateContent>
  <xr:revisionPtr revIDLastSave="342" documentId="8_{15A66668-FE9B-4C67-8AEF-2445E6382F07}" xr6:coauthVersionLast="47" xr6:coauthVersionMax="47" xr10:uidLastSave="{A37902BA-D4EF-4A98-BBE9-130CEC02F3B7}"/>
  <bookViews>
    <workbookView xWindow="28680" yWindow="-120" windowWidth="29040" windowHeight="16440" firstSheet="5" activeTab="12" xr2:uid="{00000000-000D-0000-FFFF-FFFF00000000}"/>
  </bookViews>
  <sheets>
    <sheet name="Indicaciones" sheetId="9" r:id="rId1"/>
    <sheet name="RIESGOS" sheetId="12" r:id="rId2"/>
    <sheet name="Parámetros" sheetId="6" r:id="rId3"/>
    <sheet name="Análisis de RIESGOS" sheetId="1" r:id="rId4"/>
    <sheet name="Gráficas" sheetId="8" r:id="rId5"/>
    <sheet name="Detalle1" sheetId="13" r:id="rId6"/>
    <sheet name="Detalle2" sheetId="14" r:id="rId7"/>
    <sheet name="Detalle3" sheetId="15" r:id="rId8"/>
    <sheet name="Detalle4" sheetId="16" r:id="rId9"/>
    <sheet name="Detalle5" sheetId="17" r:id="rId10"/>
    <sheet name="Detalle6" sheetId="18" r:id="rId11"/>
    <sheet name="Detalle7" sheetId="19" r:id="rId12"/>
    <sheet name="Gráfica" sheetId="11" r:id="rId13"/>
  </sheets>
  <definedNames>
    <definedName name="Exposición">'Análisis de RIESGOS'!$I$8</definedName>
    <definedName name="IDRiesgo">'Análisis de RIESGOS'!$A$8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 i="1" l="1"/>
  <c r="I11" i="1"/>
  <c r="I12" i="1"/>
  <c r="I13" i="1"/>
  <c r="I14" i="1"/>
  <c r="I15" i="1"/>
  <c r="I16" i="1"/>
  <c r="I17" i="1"/>
  <c r="I18" i="1"/>
  <c r="I19" i="1"/>
  <c r="I20" i="1"/>
  <c r="I21" i="1"/>
  <c r="I22" i="1"/>
  <c r="I23" i="1"/>
  <c r="I9" i="1"/>
  <c r="B7" i="8"/>
  <c r="B8" i="8"/>
  <c r="B9" i="8"/>
  <c r="B10" i="8"/>
  <c r="B6" i="8"/>
  <c r="D10" i="8" l="1"/>
  <c r="D9" i="8"/>
  <c r="D8" i="8"/>
  <c r="D7" i="8"/>
  <c r="D6" i="8"/>
  <c r="G10" i="8"/>
  <c r="G9" i="8"/>
  <c r="G8" i="8"/>
  <c r="G7" i="8"/>
  <c r="G6" i="8"/>
  <c r="H5" i="8"/>
  <c r="H6" i="8" l="1"/>
  <c r="E6" i="8"/>
  <c r="H7" i="8"/>
  <c r="E7" i="8"/>
  <c r="H8" i="8"/>
  <c r="E8" i="8"/>
  <c r="H9" i="8"/>
  <c r="E9" i="8"/>
  <c r="H10" i="8"/>
  <c r="E10" i="8"/>
  <c r="H25" i="1"/>
  <c r="I25" i="1"/>
  <c r="H26" i="1"/>
  <c r="I26" i="1"/>
  <c r="I27" i="1"/>
  <c r="H27" i="1"/>
</calcChain>
</file>

<file path=xl/sharedStrings.xml><?xml version="1.0" encoding="utf-8"?>
<sst xmlns="http://schemas.openxmlformats.org/spreadsheetml/2006/main" count="1144" uniqueCount="484">
  <si>
    <t>Objetivos</t>
  </si>
  <si>
    <t>Describe el objetivo del documento. Debe comenzar siempre con el siguiente texto: “El siguiente documento tiene como objetivo”</t>
  </si>
  <si>
    <r>
      <t>1.</t>
    </r>
    <r>
      <rPr>
        <b/>
        <sz val="7"/>
        <color rgb="FF000000"/>
        <rFont val="Times New Roman"/>
        <family val="1"/>
      </rPr>
      <t xml:space="preserve">   </t>
    </r>
    <r>
      <rPr>
        <b/>
        <sz val="14"/>
        <color rgb="FF000000"/>
        <rFont val="Arial"/>
        <family val="2"/>
      </rPr>
      <t>Lista de Riesgos</t>
    </r>
  </si>
  <si>
    <t>Id</t>
  </si>
  <si>
    <t>Descripción</t>
  </si>
  <si>
    <t>Fecha</t>
  </si>
  <si>
    <t>Contexto</t>
  </si>
  <si>
    <t>Probabilidad de Ocurrencia</t>
  </si>
  <si>
    <t>Impacto</t>
  </si>
  <si>
    <t>Exposición</t>
  </si>
  <si>
    <t>Plan de Acción</t>
  </si>
  <si>
    <t>Vigente</t>
  </si>
  <si>
    <t>Número que identifica unívocamente al riesgo</t>
  </si>
  <si>
    <t>Descripción concisa del riesgo</t>
  </si>
  <si>
    <t>Fecha en la que se identificó el riesgo</t>
  </si>
  <si>
    <t>Consideraciones al momento de identificar el riesgo (supuestos, condiciones, restricciones).</t>
  </si>
  <si>
    <t>Probabilidad de ocurrencia del riesgo</t>
  </si>
  <si>
    <t>Consecuencia del riesgo si se manifestara durante la ejecución del proyecto</t>
  </si>
  <si>
    <t>Probabilidad de Ocurrencia * Impacto</t>
  </si>
  <si>
    <t>Referencia a alguno de los planes de acción identificados en la sección siguiente</t>
  </si>
  <si>
    <t>Especificar si el riesgo se encuentra vigente o no</t>
  </si>
  <si>
    <r>
      <t>Aclaración:</t>
    </r>
    <r>
      <rPr>
        <sz val="10"/>
        <color rgb="FF000000"/>
        <rFont val="Arial"/>
        <family val="2"/>
      </rPr>
      <t xml:space="preserve">  Dado que esta matriz tiene como objetivo describir todos los riesgos identificados en el proyecto y considerando que la gestión de riesgos es una actividad continua durante todo el desarrollo del proyecto, cabe aclarar que algunos riesgos podrán dejar de estar vigentes y/o aparecer nuevos, con lo cual, resulta importante mantener siempre actualizada la misma, indicando en la última columna de la lista si está vigente o no.</t>
    </r>
  </si>
  <si>
    <t>2. Planes de Acción</t>
  </si>
  <si>
    <t>Descripción de los planes de acción definidos para los riesgos de mayor exposición.</t>
  </si>
  <si>
    <t>Estrategia</t>
  </si>
  <si>
    <t>Descripción de la Acción</t>
  </si>
  <si>
    <t>Disparadores del Plan</t>
  </si>
  <si>
    <t>Responsable</t>
  </si>
  <si>
    <t>Número que identifica unívocamente al Plan</t>
  </si>
  <si>
    <t>Seleccionar la estrategia asociada al riesgo</t>
  </si>
  <si>
    <t>Descripción resumida de la acción</t>
  </si>
  <si>
    <r>
      <t xml:space="preserve">Mecanismos que activan, </t>
    </r>
    <r>
      <rPr>
        <sz val="10"/>
        <color theme="1"/>
        <rFont val="Arial"/>
        <family val="2"/>
      </rPr>
      <t>detienen</t>
    </r>
    <r>
      <rPr>
        <sz val="10"/>
        <color rgb="FF000000"/>
        <rFont val="Arial"/>
        <family val="2"/>
      </rPr>
      <t xml:space="preserve"> o suspenden el plan</t>
    </r>
  </si>
  <si>
    <t>Responsable de monitorear los disparadores</t>
  </si>
  <si>
    <t>3. Criterios</t>
  </si>
  <si>
    <t>En esta sección se describen los criterios adoptados para la gestión de riesgos.</t>
  </si>
  <si>
    <r>
      <rPr>
        <b/>
        <sz val="11"/>
        <color rgb="FF000000"/>
        <rFont val="Arial"/>
      </rPr>
      <t>Aclaración</t>
    </r>
    <r>
      <rPr>
        <sz val="11"/>
        <color rgb="FF000000"/>
        <rFont val="Arial"/>
      </rPr>
      <t>: Cabe aclarar que los ítems que se describen a continuación, son referencias figurativas. Con lo cual, será necesario adaptar los mismos a los criterios que mejor apliquen al desarrollo del proyecto en particular.</t>
    </r>
  </si>
  <si>
    <t>3.1. Probabilidad, Impacto y Exposición</t>
  </si>
  <si>
    <t>Se adopta un enfoque cualitativo, por lo que los atributos de Probabilidad de Ocurrencia e Impacto se clasifican en Alto, Medio, Bajo. A su vez la Exposición se calcula en función de la siguiente matriz.</t>
  </si>
  <si>
    <t>Alto</t>
  </si>
  <si>
    <t>Medio</t>
  </si>
  <si>
    <t>Bajo</t>
  </si>
  <si>
    <t>Importante</t>
  </si>
  <si>
    <t>Moderado</t>
  </si>
  <si>
    <t>Tolerable</t>
  </si>
  <si>
    <t>4.1. Estrategias</t>
  </si>
  <si>
    <t>A partir de la Lista de Riesgos priorizada y los atributos de probabilidad de ocurrencia e impacto, se deberá seleccionar una estrategia para los riesgos a tratar, y en consecuencia el plan de acción.</t>
  </si>
  <si>
    <t>Las estrategias posibles son:</t>
  </si>
  <si>
    <r>
      <t>●</t>
    </r>
    <r>
      <rPr>
        <sz val="7"/>
        <color rgb="FF000000"/>
        <rFont val="Times New Roman"/>
        <family val="1"/>
      </rPr>
      <t xml:space="preserve">        </t>
    </r>
    <r>
      <rPr>
        <sz val="11"/>
        <color rgb="FF000000"/>
        <rFont val="Arial"/>
        <family val="2"/>
      </rPr>
      <t>Evitar: Cambiar el plan de proyecto para eliminar el riesgo, se evita totalmente.</t>
    </r>
  </si>
  <si>
    <r>
      <t>●</t>
    </r>
    <r>
      <rPr>
        <sz val="7"/>
        <color rgb="FF000000"/>
        <rFont val="Times New Roman"/>
        <family val="1"/>
      </rPr>
      <t xml:space="preserve">        </t>
    </r>
    <r>
      <rPr>
        <sz val="11"/>
        <color rgb="FF000000"/>
        <rFont val="Arial"/>
        <family val="2"/>
      </rPr>
      <t>Transferir: trasladar las consecuencias (impacto) del riesgo a una tercera parte, conjuntamente con la respuesta.</t>
    </r>
  </si>
  <si>
    <r>
      <t>●</t>
    </r>
    <r>
      <rPr>
        <sz val="7"/>
        <color rgb="FF000000"/>
        <rFont val="Times New Roman"/>
        <family val="1"/>
      </rPr>
      <t xml:space="preserve">        </t>
    </r>
    <r>
      <rPr>
        <sz val="11"/>
        <color rgb="FF000000"/>
        <rFont val="Arial"/>
        <family val="2"/>
      </rPr>
      <t>Mitigar: reducir la probabilidad de ocurrencia de o el impacto del riesgo a niveles aceptables a través de acciones tempranas.</t>
    </r>
  </si>
  <si>
    <r>
      <t>●</t>
    </r>
    <r>
      <rPr>
        <sz val="7"/>
        <color rgb="FF000000"/>
        <rFont val="Times New Roman"/>
        <family val="1"/>
      </rPr>
      <t xml:space="preserve">        </t>
    </r>
    <r>
      <rPr>
        <sz val="11"/>
        <color rgb="FF000000"/>
        <rFont val="Arial"/>
        <family val="2"/>
      </rPr>
      <t>Aceptar: el equipo de proyecto decide aceptar las consecuencias (impacto) del riesgo.</t>
    </r>
  </si>
  <si>
    <t xml:space="preserve">Para la selección de la estrategia se puede utilizar el siguiente cuadro como guía. El PMI no establece una única manera </t>
  </si>
  <si>
    <t xml:space="preserve">Fuente </t>
  </si>
  <si>
    <t>Consecuencias</t>
  </si>
  <si>
    <t>Evaluación</t>
  </si>
  <si>
    <t>Mitigación</t>
  </si>
  <si>
    <t>Probabilidad</t>
  </si>
  <si>
    <t>Acción</t>
  </si>
  <si>
    <t>Resp. Ejec.</t>
  </si>
  <si>
    <t>Requisitos del producto y/o entregables</t>
  </si>
  <si>
    <t>No están claros los objetivos y/o el alcance del proyecto</t>
  </si>
  <si>
    <t>Indefinición de los requerimientos</t>
  </si>
  <si>
    <t>Media</t>
  </si>
  <si>
    <t>Apoyo en la definición de los requerimientos. Validación y aceptación de los requerimientos del proyecto por el Equipo de usuarios.</t>
  </si>
  <si>
    <t>Equipo de usuarios / Jefe de proyecto</t>
  </si>
  <si>
    <t>No están cerrados los objetivos y/o el alcance del programa</t>
  </si>
  <si>
    <t>Validación y aceptación de los requerimientos del proyecto por el Equipo de usuarios.</t>
  </si>
  <si>
    <t>El Proyecto no encaja en el alcance y los objetivos del usuario</t>
  </si>
  <si>
    <t>Rechazo del usuario final</t>
  </si>
  <si>
    <t>Baja</t>
  </si>
  <si>
    <t>Equipo de usuarios</t>
  </si>
  <si>
    <t>Expectativas del usuario poco claras</t>
  </si>
  <si>
    <t>El producto final no satisface las expectativas del usuario.</t>
  </si>
  <si>
    <t>Involucración del usuario en la definición de los requerimientos.</t>
  </si>
  <si>
    <t>Requerimientos de hardware imprecisos</t>
  </si>
  <si>
    <t>Soporte hardware insuficiente para el producto final.</t>
  </si>
  <si>
    <t>Validación y aceptación del plan de proyecto (ap. 5.2 Herramientas)</t>
  </si>
  <si>
    <t>Equipo de usuarios / Infraestructura</t>
  </si>
  <si>
    <t>Complejidad del proyecto</t>
  </si>
  <si>
    <t>Complejidad en el desarrollo. Retraso en las fechas. El producto final no satisface las expectativas del usuario.</t>
  </si>
  <si>
    <t>Formación técnica y/o funcional del equipo de desarrollo. Identificación de perfiles adecuados para la ejecución del proyecto.</t>
  </si>
  <si>
    <t>Jefe de proyecto / Analista</t>
  </si>
  <si>
    <t>Falta de estabilidad de requerimientos</t>
  </si>
  <si>
    <t>El producto final no satisface las expectativas del usuario. Continuas replanificaciones del proyecto.</t>
  </si>
  <si>
    <t>Revisión, validación y aceptación de los requerimientos del proyecto por el Equipo de usuarios. Aumentar el grado de implicación del equipo de usuarios.</t>
  </si>
  <si>
    <t>Dirección del proyecto /Equipo de usuarios / Jefe de proyecto</t>
  </si>
  <si>
    <t>Requerimientos incompletos y poco claros</t>
  </si>
  <si>
    <t>Imposibilidad de realizar el diseño y construcción con garantías.</t>
  </si>
  <si>
    <t>Falta de un criterio de finalización claro</t>
  </si>
  <si>
    <t>Imposibilidad de cierre del proyecto.</t>
  </si>
  <si>
    <t>Identificar claramente los objetivos del proyecto y su consecución.</t>
  </si>
  <si>
    <t>Existencia de un diseño poco claro o que no pernite realizar el proyecto</t>
  </si>
  <si>
    <t>Imposibilidad de realizar la construcción con garantías.</t>
  </si>
  <si>
    <t>Revisión, validación y aceptación del diseño.</t>
  </si>
  <si>
    <t>Existen muchas dependencias externas del proyecto</t>
  </si>
  <si>
    <t>Retrasos ocasionados por incumplimiento de plazos de terceros.</t>
  </si>
  <si>
    <t>Alto riesgo</t>
  </si>
  <si>
    <t>Involucración de implicados y seguimiento de compromisos.</t>
  </si>
  <si>
    <t>Por utilización de una tecnología nueva</t>
  </si>
  <si>
    <t>Desconocimiento de las herramientas de implementación. Retrasos en las fechas o mala calidad del producto final.</t>
  </si>
  <si>
    <t>Formación técnica del equipo de desarrollo. Identificación de perfiles adecuados para la ejecución del proyecto.</t>
  </si>
  <si>
    <t>Jefe de proyecto</t>
  </si>
  <si>
    <t>Fecha de entrega fija y con plazos muy ajustados o incumplibles</t>
  </si>
  <si>
    <t>Incumplimiento de objetivos del proyecto. Tensiones en el equipo de desarrollo.</t>
  </si>
  <si>
    <t xml:space="preserve">Ampliación del número de recursos existente, recorte de </t>
  </si>
  <si>
    <t>Falta de documentación</t>
  </si>
  <si>
    <t>Análisis incompleto.</t>
  </si>
  <si>
    <t>Solicitar la documentación necesaria para desarrollar la petición</t>
  </si>
  <si>
    <t>No se dispone de un entorno de desarrollo y pruebas adecuado</t>
  </si>
  <si>
    <t>Imposibilidad de garantizar un producto con la calidad adecuada. Errores en la toma de decisiones.</t>
  </si>
  <si>
    <t>Solicitar la suspensión de los ANS para la petición</t>
  </si>
  <si>
    <t>Jefe de proyecto / Infraestructura / Gestión del servicio</t>
  </si>
  <si>
    <t>No existe experiencia en la gestión de proyectos de estas caracterísiticas</t>
  </si>
  <si>
    <t>Incertidumbre en el producto final. Retrasos en las fechas o mala calidad del producto final.</t>
  </si>
  <si>
    <t>Solicitar las replanificaciones necesarias para garantizar que los procductos que se implantan tienen las garantías necesarias de poderse ejecutar en producción sin causar problemas</t>
  </si>
  <si>
    <t>No existe el VºBº de los requerimientos por parte del usuario</t>
  </si>
  <si>
    <t>Posible inconformidad del usuario con el producto entregado</t>
  </si>
  <si>
    <t>No existe el VºBº del plan de anteproyecto por parte del usuario</t>
  </si>
  <si>
    <t>Validación y aceptación de el Plan de Anteproyecto por el Equipo de usuarios.</t>
  </si>
  <si>
    <t>No existe el VºBº a los cambios producidos en el ANT por un cambio de alcance por parte del usuario</t>
  </si>
  <si>
    <t>Validación y aceptación de lla modficación del Plan de anteproyecto debido a un cambio de alcance por el Equipo de usuarios.</t>
  </si>
  <si>
    <t>Existencia de una arquitectura poco clara o que no pernite realizar el proyecto</t>
  </si>
  <si>
    <t>Revisión, validación y aceptación de la arquitectura del proyecto. Aumentar el grado de implicación del equipo de usuarios.</t>
  </si>
  <si>
    <t>Equipo de usuarios / Jefe de proyecto / Infraestructura</t>
  </si>
  <si>
    <t>No cumplimiento de los procedimientos definidos por Cliente por parte de ésta</t>
  </si>
  <si>
    <t>El incumplimiento de los procedimientos definidos por REE, puede implicar el cumplimiento de los ANS por parte de los proveedores</t>
  </si>
  <si>
    <t>Desactivación temporal de los ANS impactados por el incumplimiento del modelo de procesos por parte de REE</t>
  </si>
  <si>
    <t>REE</t>
  </si>
  <si>
    <t>Desplanificación elevada y repentina de actividad</t>
  </si>
  <si>
    <t>Bajas en el plan de recursos de la fábrica. Pérdida de conocimiento funcional y técnico</t>
  </si>
  <si>
    <t>Definir un plan de formación continua, orientado a realizar una difusión masiva de los conocimientos necesarios para trabajar en el servicio</t>
  </si>
  <si>
    <t xml:space="preserve"> Sistemas</t>
  </si>
  <si>
    <t>No disponibilidad del usuario para la recopilación de datos</t>
  </si>
  <si>
    <t>Retraso en la fechas del proyecto.</t>
  </si>
  <si>
    <t>Anticipar la planificación al equipo de usuarios. Involucrar al equipo de usuarios. Replanificación del proyecto para adaptación al usuario.</t>
  </si>
  <si>
    <t>Jefe de proyecto / Equipo de usuarios</t>
  </si>
  <si>
    <t>Mala calidad de los datos definidos</t>
  </si>
  <si>
    <t>Posibilidad de inserciones de datos erróneas.</t>
  </si>
  <si>
    <t>Formar al usuario final para la recopilación de los datos. Replanificación del proyecto para adaptación al usuario.</t>
  </si>
  <si>
    <t>Analista / Equipo de usuarios.</t>
  </si>
  <si>
    <t>No disponibilidad del usuario para la validación de cargas de datos</t>
  </si>
  <si>
    <t>Retraso en la fechas del proyecto. Entrada en producción con datos no validados. Posibilidad de errores de parametrización o datos históricos.</t>
  </si>
  <si>
    <t>Alta</t>
  </si>
  <si>
    <t>Anticipar la planificación al equipo de usuarios. Involucrar al equipo de usuarios. Replanificación del proyecto para adaptación al usuario. Corrección de los datos en producción.</t>
  </si>
  <si>
    <t>No disponibilidad del usuario para la formación</t>
  </si>
  <si>
    <t>No disponibilidad de los medios necesarios para la formación (sala, PCs, impresoras, manuales, proyector,…)</t>
  </si>
  <si>
    <t>La formación no se imparte con la calidad adecuada.</t>
  </si>
  <si>
    <t>Anticipar convenientemente las necesidades para la formación.</t>
  </si>
  <si>
    <t>SW - Oracle</t>
  </si>
  <si>
    <t>Instalación errónea del Cliente Oracle en los Ordenadores.</t>
  </si>
  <si>
    <t>Las aplicaciones Oracle no funcionan correctamente.</t>
  </si>
  <si>
    <t>Realizar pruebas de instalación y validación. Reinstalación del Cliente Oracle.</t>
  </si>
  <si>
    <t>Infraestructura</t>
  </si>
  <si>
    <t>Instalación errónea del Developer Suite en los Ordenadores del equipo de Desarrollo.</t>
  </si>
  <si>
    <t>No es posible desarrollar el proyecto.</t>
  </si>
  <si>
    <t>Realizar pruebas de instalación y validación. Reinstalación del Developer Suite.</t>
  </si>
  <si>
    <t>Instalación errónea de los parches recomendados por Oracle para sus aplicaciones.</t>
  </si>
  <si>
    <t>Realizar pruebas de instalación y validación. Reinstalación de los parches recomendados.</t>
  </si>
  <si>
    <t>Report Server no disponible o errores en su ejecución.</t>
  </si>
  <si>
    <t>No se puede utilizar la aplicación INFNOLINE-PLUS para ejecutar informes de la aplicación Report.</t>
  </si>
  <si>
    <t>Realizar la validación del Report Server.</t>
  </si>
  <si>
    <t>Problemas en el alta de la Base de Datos del proyecto en el TNSNAMES corporativo de Endesa.</t>
  </si>
  <si>
    <t>Los ordenadores de los usuarios de la aplicación no podrán acceder a la Base de Datos de la aplicación.</t>
  </si>
  <si>
    <t>Realizar la validación del alta de la Base de Datos en el TNSNAMES corporativo.</t>
  </si>
  <si>
    <t>Errores de las aplicaciones Oracle reconocidos por el soporte oficial de Oracle.</t>
  </si>
  <si>
    <t>Comprobar la existencias de parches que solucionen los errores o estudiar el cambio de versión de la aplicación. Análisis de Impacto de la nueva versión.</t>
  </si>
  <si>
    <t>Analista / Soporte Oracle</t>
  </si>
  <si>
    <t>Problemas con componentes OLE de fabricantes ajenos a Oracle.</t>
  </si>
  <si>
    <t>Partes de la aplicación podrían no funcionar correctamente.</t>
  </si>
  <si>
    <t xml:space="preserve">Análisis del error y sus posibles soluciones. Readaptación de funcionalidad en el caso en el que fuera imposible la resolución del error. </t>
  </si>
  <si>
    <t>Analista</t>
  </si>
  <si>
    <t>Cambios en la funcionalidad básica que ofrece la arquitectura ADO.</t>
  </si>
  <si>
    <t>Adecuación de la arquitectura ADO a la nueva funcionalidad requerida.</t>
  </si>
  <si>
    <t>Replanificar el proyecto. Ampliar la funcionalidad requerida.</t>
  </si>
  <si>
    <t>Analista / Arquitectura</t>
  </si>
  <si>
    <t>Errores de acceso a la estructura de red definidas para la correcta utilización e integración de la arquitectura ADO.</t>
  </si>
  <si>
    <t>Imposibilidad de utilizar correctamente los objetos y procedimientos definidos en la arquitectura ADO.</t>
  </si>
  <si>
    <t>ImAlta</t>
  </si>
  <si>
    <t xml:space="preserve">Realizar pruebas de instalación y validación. </t>
  </si>
  <si>
    <t>Infraestructura / Analista / Arquitectura</t>
  </si>
  <si>
    <t>Errores en las librerías y productos de la arquitectura ADO.</t>
  </si>
  <si>
    <t>Replanificar el proyecto. Corregir los errores detectados.</t>
  </si>
  <si>
    <t>Arquitectura</t>
  </si>
  <si>
    <t>Problemas en la creación o modificación de Objetos de Base de Datos.</t>
  </si>
  <si>
    <t>Realizar pruebas de creación o modificación y validación.</t>
  </si>
  <si>
    <t>Problemas de dimensionamiento de servidores o balanceo de  Bases de Datos.</t>
  </si>
  <si>
    <t>Gestionar y verificar el re-dimensionamiento de los servidores y la gestión del balanceo de Base de Datos.</t>
  </si>
  <si>
    <t>Problemas con la gestión de los pases a explotación.</t>
  </si>
  <si>
    <t>Se podrían retrasar las fechas de entrega.</t>
  </si>
  <si>
    <t>Replanificar el proyecto. Solucionar los problemas detectados.</t>
  </si>
  <si>
    <t>Pases a Explotación</t>
  </si>
  <si>
    <t>SW - VBA</t>
  </si>
  <si>
    <t>ActiveX y librerías incompatibles en plataforma</t>
  </si>
  <si>
    <t>Al implantar el desarrollo se producirán conflictos</t>
  </si>
  <si>
    <t>Mandar a homologación todos los objetos para certificar su versión correcta</t>
  </si>
  <si>
    <t>ActiveX y librerías no homologadas</t>
  </si>
  <si>
    <t>El desarrollo no funcionará al entrar en producción</t>
  </si>
  <si>
    <t>Mandar a homologación todos los objetos para ver su posible homologación y realizar un paquete completo para la instalación</t>
  </si>
  <si>
    <t>Soporte por Microsoft</t>
  </si>
  <si>
    <t>No podremos corregir los bugs de aplicación de desarrollo</t>
  </si>
  <si>
    <t xml:space="preserve">Intentar modificar el desarrollo para evitar el bugs. Detección bastante costosa en tiempo. </t>
  </si>
  <si>
    <t>Complicada adpatación a nuevos requerimientos suministrados por otras tecnologías.</t>
  </si>
  <si>
    <t>Dado que no existen nuevas revisiones de VB 6.0, no podriamos adaptar el desarrollo.</t>
  </si>
  <si>
    <t>Plantearse un cambio de herramienta de desarrollo si se toman los requisitos correctamente antes de su inicialización.</t>
  </si>
  <si>
    <t>Configuración regional de los PCs</t>
  </si>
  <si>
    <t>Malfuncionamiento de la aplicación.</t>
  </si>
  <si>
    <t>Reinstalación de componentes.</t>
  </si>
  <si>
    <t>Problemas por conexión a la base de datos (cambios de versión, etc).</t>
  </si>
  <si>
    <t>Imposibilidad de conexión con la base de datos o recorte de funcionalidad.</t>
  </si>
  <si>
    <t>Adaptación de los drivers adecuados.</t>
  </si>
  <si>
    <t>Analista / Infraestructura</t>
  </si>
  <si>
    <t>Problemas de rendimiento en el entorno de explotación</t>
  </si>
  <si>
    <t>El tiempo de respuesta de las aplicaciones no se ajusta a lo entorno de desarrollo</t>
  </si>
  <si>
    <t>Adecuar el entorno de explotación a los requerimientos del producto e intentar optimización a nivel de desarrollo</t>
  </si>
  <si>
    <t>SW - JAVA</t>
  </si>
  <si>
    <t>Versión Máquina Virtual</t>
  </si>
  <si>
    <t>No funciona parte ó todo el aplicativo</t>
  </si>
  <si>
    <t>La versión de máquina virtual debe ser igual en todos los entornos. Si se cambia la versión, se deben actualizar todos los entornos corregiendo las partes que no sean compatibles</t>
  </si>
  <si>
    <t xml:space="preserve">Peligro por un mal uso de la gestión de la memoria (Garbage Collector) </t>
  </si>
  <si>
    <t>Error no controlable por falta de recursos</t>
  </si>
  <si>
    <t>Definir la memoria asignada a cada proceso y liberar las referencia de los objetos a medida que dejan de utilizarse,</t>
  </si>
  <si>
    <t>Tratamiento de Fechas</t>
  </si>
  <si>
    <t>Problemas al tratar el formato de las fechas que pueden provocar errores en la capa de negocio</t>
  </si>
  <si>
    <t>Utilizar frameWorks que solucionan estos problemas. Definir siempre el mismo formato de fechas, lo más independiente posible de la plataforma.</t>
  </si>
  <si>
    <t>Hilos-Concurrencia</t>
  </si>
  <si>
    <t>Perdida de control en los hilos. No dispone de semáforos, monitores... únicamente bloqueo de métodos</t>
  </si>
  <si>
    <t>Realizar una buena tramitación de la concurrencia e intentar usar los hilos lo menos posible. Existe un framework de Doug Lea de uso libre que SUN a tomado como base para la sincronización de procesos en la versión 1,5 de Java.</t>
  </si>
  <si>
    <t>Rendimiento (src-bytecodes-ejecutables)</t>
  </si>
  <si>
    <t>Lentitud en el arranque de la aplicación (hasta que llega a los ejecutables)</t>
  </si>
  <si>
    <t>Usar patrones de diseño orientados a reutilizar objetos, usar versiones de maquinas virtuales actuales que minimizan estos problemas, usar precarga de objetos en memoria para optimizar los accesos a datos. En última instancia, y si fuera necesario, se podría compilar el código para una máquina, con lo que tendríamos un ejecución como un programa compilado, aunque no podríamos ejecutarlo en distintas plataformas y el tamaño seria mucho mayor del actual.</t>
  </si>
  <si>
    <t>Jefatura de proyecto</t>
  </si>
  <si>
    <t>Aritmética en punto flotante</t>
  </si>
  <si>
    <t>Errores en los calculos que requieren gran precisión</t>
  </si>
  <si>
    <t>En cálculos muy precisos java no es el lenguaje más adecuado, aunque hablamos de precisiones de 10 cifras decimales.</t>
  </si>
  <si>
    <t>Gestión de Excepciones</t>
  </si>
  <si>
    <t>Posibilidad de errores no controlados correctamente</t>
  </si>
  <si>
    <t>Realizar un buen tratamiento de las excepciones. Correcto tratamiento de los throws, throw y tratamientos locales.</t>
  </si>
  <si>
    <t>AME - Muchos frameworks requieren un conocimiento medio-alto de Java</t>
  </si>
  <si>
    <t>Equipo experimentado</t>
  </si>
  <si>
    <t>Formación en los distintos frameworks que engloba AME.</t>
  </si>
  <si>
    <t>AME - Hibernate requiere un modelo de datos correcto (integridad referencial)</t>
  </si>
  <si>
    <t>Utilizar en su defecto Ibatis</t>
  </si>
  <si>
    <t>Si el modelo de datos no se puede adaptar a Hibernate (como es recomendable), se deberá utilizar Ibatis.</t>
  </si>
  <si>
    <t xml:space="preserve">AME- Spring extrae parte de la lógica de negocio a ficheros XML (META PROGRAMACIÓN) </t>
  </si>
  <si>
    <t>Complica el seguimiento de la lógica de la aplicación</t>
  </si>
  <si>
    <t>Experiencia en el seguimiento de este tipo de código.</t>
  </si>
  <si>
    <t>Amalista</t>
  </si>
  <si>
    <t xml:space="preserve">AME- Muy orientado a entorno WEB, en caso de procesos batch aún no aporta muchas soluciones </t>
  </si>
  <si>
    <t>Búsqueda de soluciones fuera de AME</t>
  </si>
  <si>
    <t>Informar de la necesidades al equipo de AME.</t>
  </si>
  <si>
    <t>SW</t>
  </si>
  <si>
    <t>No disponibilidad del módulo en la fecha prevista.</t>
  </si>
  <si>
    <t>Retraso en la fecha de entrega.</t>
  </si>
  <si>
    <t>Anticipar la planificación al equipo de usuarios. Replanificación del proyecto.</t>
  </si>
  <si>
    <t>Cambios de versión previstos o aplicación de support packages que afecten a la funcionalidad a implantar.</t>
  </si>
  <si>
    <t>Retraso en la fecha de entrega. Necesidad de readaptación del módulo. Cambios en funcionalidad a entregar.</t>
  </si>
  <si>
    <t xml:space="preserve">Análisis de impacto de la nueva versión. Readaptación de funcionalidad. </t>
  </si>
  <si>
    <t>Jefe de proyecto / Infraestructura</t>
  </si>
  <si>
    <t>Errores del estándar pendientes de solución por SAP (notas).</t>
  </si>
  <si>
    <t>Funcionamiento incorrecto del módulo.</t>
  </si>
  <si>
    <t>Replanificar el proycto. Corregir la funcionalidad requerida.</t>
  </si>
  <si>
    <t>Soporte SAP</t>
  </si>
  <si>
    <t>Error en la instalación y activación de los componentes.</t>
  </si>
  <si>
    <t>Funcionamiento incorrecto de la aplicación.</t>
  </si>
  <si>
    <t>Realizar pruebas de instalación y validación. Reinstalación o reactivación de componentes o secuencia de componentes.</t>
  </si>
  <si>
    <t>Infraestrucutra</t>
  </si>
  <si>
    <t>Cambios en los requerimientos referentes a funcionalidad que no contempla el sistema estándar.</t>
  </si>
  <si>
    <t>Los requerimientos no pueden atenderse.</t>
  </si>
  <si>
    <t>Formación al equipo de usuarios en las capacidades estándar del módulo. Desarrollo a medida de la nueva funcionalidad.</t>
  </si>
  <si>
    <t>Modelo procesos</t>
  </si>
  <si>
    <t>Falta de un método de difusión de cambios en los procesos definidos</t>
  </si>
  <si>
    <t>Las mejoras implementadas en el modelo de procesos no se difundan en toda la organización y se impida un correcto despliegue de las mismas.
Una incorrecta difusión de los cambios puede ocasionar el incumplimiento de los estándares de calidad y/o los ANS</t>
  </si>
  <si>
    <t>Definir un plan de formación que implique una correcta difusión de las mejoras de los procesos. Así mismo se deben identificar claramente a todos los implicados en cada uno de los procesos mejorados para que sean incluidos en el plan de formación</t>
  </si>
  <si>
    <t>Cliente
 Sistemas</t>
  </si>
  <si>
    <t>No existe o están previstos en breve un cambio de política y/o estándares por parte del usuario</t>
  </si>
  <si>
    <t>El producto final no se adapta a los nuevos estándares.</t>
  </si>
  <si>
    <t>Análisis de impacto en los requerimientos actuales. Revisión del alcance del proyecto.</t>
  </si>
  <si>
    <t>Va a producir cambios en el flujo de trabajo establecido con el usuario</t>
  </si>
  <si>
    <t>Implantación de nuevas Metodologías de Desarrollo o Gestión de Procesos en plazos breves</t>
  </si>
  <si>
    <t>Posibles cambios en los procedimientos de trabajo del CdS.</t>
  </si>
  <si>
    <t>Desactivación temporal de los ANS impactados por el cambio metodológico</t>
  </si>
  <si>
    <t>Cliente 
 Sistemas</t>
  </si>
  <si>
    <t>No almacenamiento de la documentación asociada al servicio</t>
  </si>
  <si>
    <t>El conocimiento del servicio, residirá únicamente en las personas</t>
  </si>
  <si>
    <t>Muy baja</t>
  </si>
  <si>
    <t>Enfocar inicialmente la estrategia de revisiones de aseguramiento de la calidad a la gestión de la configuración, para detectar la falta de información en los repositorios
Definir un plan de formación continua, orientado a realizar una difusión masiva de los conocimientos necesarios para trabajar en el servicio</t>
  </si>
  <si>
    <t>Recursos necesarios</t>
  </si>
  <si>
    <t>Falta de recursos suficientes</t>
  </si>
  <si>
    <t>Imposibilidad de cumplir los plazos previstos.</t>
  </si>
  <si>
    <t>Solicitar la replanificación de la petición</t>
  </si>
  <si>
    <t>Jefe de proyecto / Gestión del servicio</t>
  </si>
  <si>
    <t>No se identificaron todos los productos HW, SW y de comunicaciones de cada ubicación necesaria para la prestación del servicio</t>
  </si>
  <si>
    <t>Imposibilidad de poner en marcha el servicio al 100%, al no disponer de todos los medios necesarios para hacerlo</t>
  </si>
  <si>
    <t>Solicitar un aplazamiento del hito de toma de control</t>
  </si>
  <si>
    <t>Retraso en el suministro de las líneas de comunicación</t>
  </si>
  <si>
    <t>Dificultad o imposibilidad de prestación del servicio</t>
  </si>
  <si>
    <t>Muy Alta</t>
  </si>
  <si>
    <t>Intolerable</t>
  </si>
  <si>
    <t>Rotación no deseada del equipo</t>
  </si>
  <si>
    <t>Perdida de conocimiento funcional
y técnico</t>
  </si>
  <si>
    <t xml:space="preserve">Riesgo en la configuración de las herramientas de trabajo </t>
  </si>
  <si>
    <t>Retraso en la realización de los trabajos y riesgos de calidad</t>
  </si>
  <si>
    <t>Solicitar un aplazamiento del hito</t>
  </si>
  <si>
    <t>Accesibilidad: Filtraciones de seguridad, datos sensibles de la organización de REE, LOPD.</t>
  </si>
  <si>
    <t>Fuga de datos en algunos casos de carácter sensible</t>
  </si>
  <si>
    <t>Implantar las medidas de seguridad necesarias para evitar las fugas de información</t>
  </si>
  <si>
    <t>Los recursos adscritos al servicio no tienen  los conocimientos adecuados para asegurar el buen desempeño de su actividad</t>
  </si>
  <si>
    <t>Reducción de la calidad de los servicios prestados, incumplimiento de los índices de productividad y retrasos en los plazos de entrega.</t>
  </si>
  <si>
    <t>Cambios de Plataforma Tecnológica con plazos de implantación breves</t>
  </si>
  <si>
    <t>Desconocimiento de las herramientas de desarrollo.
Equipo poco formado.</t>
  </si>
  <si>
    <t>Desactivación temporal de los ANS impactados por el cambio tecnológico hasta que la nueva plataforma esté estable.
Crear un comité de crisis que permita gestionar de manera coordinada los problemas ocasionados por el cambio de plataforma</t>
  </si>
  <si>
    <t>Cambios en la Gestión de entornos (políticas, cambios de proveedor, etc.)</t>
  </si>
  <si>
    <t>Impacto en los procesos técnicos habituales.</t>
  </si>
  <si>
    <t>Desactivación temporal de los ANS impactados por el cambio tecnológico</t>
  </si>
  <si>
    <t>Fallos en infraestructura tecnológica (microinformática, comunicaciones, servicios comunes)</t>
  </si>
  <si>
    <t>Mayor dedicación a la realización de los procesos de forma alternativa</t>
  </si>
  <si>
    <t>No se tiene los equipos de explotación en fechas.</t>
  </si>
  <si>
    <t>Se tiene que trabajar con equipos que no son seguros durante demasiado tiempo.</t>
  </si>
  <si>
    <t>Involucración de Infraestructura. Replanificación del proyecto.</t>
  </si>
  <si>
    <t>Las comunicaciones fallan de la red WAN a menudo.</t>
  </si>
  <si>
    <t>Carga excesiva en las reconexiones, con el riesgo de colapso de alguna máquina y perdida de información.</t>
  </si>
  <si>
    <t>Involucración de Infraestructura.</t>
  </si>
  <si>
    <t>HW - Implantaciones</t>
  </si>
  <si>
    <t>No se tiene la base de datos original.</t>
  </si>
  <si>
    <t>Se debe hacer suposiciones a la hora de la configuración de los distintos interfaces.</t>
  </si>
  <si>
    <t>Involucración del equipo de usuarios.</t>
  </si>
  <si>
    <t>No se tiene la selección de pantallas / displays a realizar.</t>
  </si>
  <si>
    <t>No se puede empezar a trabajar en la parte más costosa del proyecto.</t>
  </si>
  <si>
    <t>No se tiene la relación de señales por pantalla.</t>
  </si>
  <si>
    <t xml:space="preserve"> A la hora de diseñar las pantallas es necesario hacer uso de señales intermedias con el consiguiente retraso cuando se tiene el valor real.</t>
  </si>
  <si>
    <t>No se tiene la infraestructura de comunicaciones en la central.</t>
  </si>
  <si>
    <t>Se tiene que posponer la implantación, con la consiguiente falta de datos reales.</t>
  </si>
  <si>
    <t>No hay un responsable de la central que valide la solución técnica.</t>
  </si>
  <si>
    <t>No controlamos los servidores de explotación.</t>
  </si>
  <si>
    <t>Retraso en la solución de problemas.</t>
  </si>
  <si>
    <t>Jefe de proyecto / Equipo de usuarios / Infraestructura</t>
  </si>
  <si>
    <t>No se considera un proyecto critico y se demoran los trabajos.</t>
  </si>
  <si>
    <t>Cada vez que se detecta una incidencia, la solución se demora por 3º, siendo nosotros la primera capa ante el usuario final.</t>
  </si>
  <si>
    <t>Los servidores puentes entre el DCS y el PI quedan en control de la central.</t>
  </si>
  <si>
    <t>Cuando hay un fallo en esas máquinas el soporte lo da gente muy ocupada que demora la resolución del problema. Con perdida de información.</t>
  </si>
  <si>
    <t>Los fallos hardware no son localizados por el proveedor del sistema.</t>
  </si>
  <si>
    <t>Retardo en la detección de fallos graves perdida de información.</t>
  </si>
  <si>
    <t>Falta de involucración del usuario en la validación de entregas realizadas.</t>
  </si>
  <si>
    <t>Se demora la corrección de fallos que podrían ser detectados en la fase de desarrollo. Con la apertura de incidencias.</t>
  </si>
  <si>
    <t>Fallo en las instalaciones de las herramientas cliente homologadas.</t>
  </si>
  <si>
    <t>Mala publicidad de la herramienta y el proyecto.</t>
  </si>
  <si>
    <t>Grupo del riesgo</t>
  </si>
  <si>
    <t>Descripción del grupo de riesgo</t>
  </si>
  <si>
    <t>Riesgos País</t>
  </si>
  <si>
    <t>Estado</t>
  </si>
  <si>
    <t>Riesgos Cliente</t>
  </si>
  <si>
    <t>Evitar</t>
  </si>
  <si>
    <t>Abierto</t>
  </si>
  <si>
    <t>Riesgos Contractuales</t>
  </si>
  <si>
    <t>Aceptar</t>
  </si>
  <si>
    <t>Cerrado</t>
  </si>
  <si>
    <t>Riesgos Asociados al Contexto del Proyecto</t>
  </si>
  <si>
    <t>Mitigar</t>
  </si>
  <si>
    <t>Riesgos Proveedor / Subcontratista</t>
  </si>
  <si>
    <t>Transferir</t>
  </si>
  <si>
    <t>Riesgos asociados a los Requisitos del Producto y/o Entregables del Proyecto</t>
  </si>
  <si>
    <t>Riesgos asociados al Proceso y Métodos de Gestión del Proyecto</t>
  </si>
  <si>
    <t>Riesgos asociados al trabajo específico a realizar</t>
  </si>
  <si>
    <t>Riesgos asociados a la Metodología de Desarrollo</t>
  </si>
  <si>
    <t>Riesgos asociados a los recursos necesarios para la realización del proyecto</t>
  </si>
  <si>
    <t>También se podría definir una estrategia para cada tipo de impacto luego de realzar un mayor nivel de análisis. Por ejemplo</t>
  </si>
  <si>
    <t>Tipo de Impacto</t>
  </si>
  <si>
    <t>Desvío</t>
  </si>
  <si>
    <t>Categorías</t>
  </si>
  <si>
    <t>Responsables</t>
  </si>
  <si>
    <t>Impacto en Calendario</t>
  </si>
  <si>
    <t>Alto-Retraso de más de un 20% del calendario del Proyecto.</t>
  </si>
  <si>
    <t>De Gestión</t>
  </si>
  <si>
    <t>Project Manager</t>
  </si>
  <si>
    <t>Medio-Retraso entre un 5% y un 20% del calendario del Proyecto.</t>
  </si>
  <si>
    <t>Técnicos</t>
  </si>
  <si>
    <t>LT</t>
  </si>
  <si>
    <t>Bajo-Retraso de menos de un 5% del calendario del Proyecto.</t>
  </si>
  <si>
    <t>Externos</t>
  </si>
  <si>
    <t>AF1</t>
  </si>
  <si>
    <t>Bajo-Adelanto de menos de un 3% del calendario del Proyecto.</t>
  </si>
  <si>
    <t>Organizacionales</t>
  </si>
  <si>
    <t>AF2</t>
  </si>
  <si>
    <t>Medio-Adelanto entre un 3% y un 5% del calendario del Proyecto</t>
  </si>
  <si>
    <t>DEV</t>
  </si>
  <si>
    <t>Impacto en Incremento de Coste</t>
  </si>
  <si>
    <t>QA</t>
  </si>
  <si>
    <t>Alto-Adelanto de más de un 5% del calendario del Proyecto.</t>
  </si>
  <si>
    <t>Impacto en Alcance/Requisitos</t>
  </si>
  <si>
    <t>Cargar sólo las celdas blancas. No cargar las celdas grises ya que contienen fórmulas</t>
  </si>
  <si>
    <t>Seleccionar valores posibiles en celdas celestes</t>
  </si>
  <si>
    <t>ID</t>
  </si>
  <si>
    <t>F. Alta</t>
  </si>
  <si>
    <t>Grupo de Riesgo</t>
  </si>
  <si>
    <t>Categoría</t>
  </si>
  <si>
    <t>Respuesta</t>
  </si>
  <si>
    <t>Disparador</t>
  </si>
  <si>
    <t>Acción de respuesta</t>
  </si>
  <si>
    <t>Contingencia</t>
  </si>
  <si>
    <t>RSK.01</t>
  </si>
  <si>
    <t xml:space="preserve">Dado que los choferes y el personal podrían resistirse a utilizar la nueva aplicación, entonces se retrasará la adopción y la operación inicial.  </t>
  </si>
  <si>
    <t>Comentarios negativos o incumplimiento en el uso de la app</t>
  </si>
  <si>
    <t xml:space="preserve">Elaborar un plan de gestión del cambio, realizar sesiones de capacitación y comunicar los beneficios del sistema. </t>
  </si>
  <si>
    <t xml:space="preserve">Implementar incentivos de adopción y reforzar la formación.  </t>
  </si>
  <si>
    <t>RSK.02</t>
  </si>
  <si>
    <t>Dado que pueden producirse errores al integrar la aplicación con ERP Tango u otros sistemas, entonces se perderá información o se generarán fallos de sincronización.</t>
  </si>
  <si>
    <t>Errores de sincronización detectados en pruebas</t>
  </si>
  <si>
    <t>Realizar pruebas de integración progresivas, definir protocolos de recuperación y coordinar con los proveedores de software.</t>
  </si>
  <si>
    <t>Mantener procesos manuales de respaldo mientras se corrigen las integraciones y realizar los ajustes técnicos necesarios.</t>
  </si>
  <si>
    <t>RSK.03</t>
  </si>
  <si>
    <t>Dado que pueden ocurrir fallos de conectividad móvil (datos o GPS) durante las entregas, entonces los choferes no podrán registrar las entregas ni recibir actualizaciones en tiempo real.</t>
  </si>
  <si>
    <t>Pérdida de señal GPS o de datos</t>
  </si>
  <si>
    <t>Contratar planes de datos con redundancia, habilitar rutas offline y monitorizar la conectividad.</t>
  </si>
  <si>
    <t>Utilizar dispositivos de respaldo o ajustar manualmente la ruta hasta restablecer la conectividad.</t>
  </si>
  <si>
    <t>RSK.04</t>
  </si>
  <si>
    <t>Dado que podría haber accesos no autorizados o filtraciones de datos, entonces se comprometerá la confidencialidad y el cumplimiento normativo.</t>
  </si>
  <si>
    <t>Intentos de intrusión o acceso indebido detectados</t>
  </si>
  <si>
    <t>Implementar cifrado y control de accesos, aplicar políticas de seguridad y realizar auditorías periódicas.</t>
  </si>
  <si>
    <t xml:space="preserve"> Suspender el sistema, restaurar copias de seguridad, notificar a las partes afectadas y reforzar las medidas de protección.</t>
  </si>
  <si>
    <t>RSK.05</t>
  </si>
  <si>
    <t>Dado que las estimaciones de coste y tiempo podrían ser inexactas, entonces se producirán sobrecostos y retrasos en el cronograma.</t>
  </si>
  <si>
    <t>Desviaciones superiores al 10 % del cronograma o del presupuesto</t>
  </si>
  <si>
    <t>Revisar periódicamente las estimaciones y el cronograma, y establecer reservas y controles para ajustar el plan.</t>
  </si>
  <si>
    <t xml:space="preserve">Utilizar reservas de contingencia y, si es necesario, reajustar recursos o alcance con aprobación de la dirección.
</t>
  </si>
  <si>
    <t>RSK.06</t>
  </si>
  <si>
    <t>Dado que los pedidos pueden asignarse incorrectamente a rutas o choferes debido a errores en el sistema o a datos imprecisos, entonces se producirán retrasos en las entregas y una disminución de la eficiencia operativa.</t>
  </si>
  <si>
    <t>Detección de pedidos asignados a la ruta o al chofer equivocado</t>
  </si>
  <si>
    <t>Establecer procedimientos de validación de asignaciones, configurar alertas automáticas y realizar revisiones previas a la confirmación de rutas.</t>
  </si>
  <si>
    <t>Reasignar los pedidos a los choferes y rutas correctas, ajustar horarios y comunicar los cambios a las áreas involucradas.</t>
  </si>
  <si>
    <t>RSK.07</t>
  </si>
  <si>
    <t>Dado que pueden fallar los dispositivos móviles, el GPS o el hardware de los camiones, entonces se perderá el seguimiento y se interrumpirá el registro de entregas.</t>
  </si>
  <si>
    <t>Daño del dispositivo o fallo del GPS</t>
  </si>
  <si>
    <t>Realizar mantenimiento preventivo, disponer de un stock de equipos de respaldo y controlar el estado de los dispositivos.</t>
  </si>
  <si>
    <t>Sustituir el equipo dañado y documentar la incidencia para posteriores análisis de causa.</t>
  </si>
  <si>
    <t>RSK.08</t>
  </si>
  <si>
    <t>Dado que los dispositivos móviles utilizados por los repartidores pueden extraviarse o ser robados, entonces se perderá la capacidad de registrar entregas y se comprometerán los datos del proyecto.</t>
  </si>
  <si>
    <t>Reporte de pérdida o robo de un dispositivo</t>
  </si>
  <si>
    <t>Contratar seguros para los dispositivos, habilitar funciones de rastreo y bloqueo remoto, y sensibilizar a los usuarios sobre el cuidado de los equipos.</t>
  </si>
  <si>
    <t>Bloquear remotamente el dispositivo, entregar un equipo de reemplazo y recuperar los datos desde las copias de seguridad.</t>
  </si>
  <si>
    <t>RSK.09</t>
  </si>
  <si>
    <t>Retraso en la provisión de los 3 smartphones por parte de Enpolex, dispositivos comprometidos en el Project Charter</t>
  </si>
  <si>
    <t xml:space="preserve">Dispositivos no entregados al 15/04/2026
</t>
  </si>
  <si>
    <t>Cláusula contractual con fecha límite explícita y seguimiento formal semanal con el sponsor de Enpolex
Contingencia: Postergar inicio del piloto y reprogramar capacitación de repartidores</t>
  </si>
  <si>
    <t xml:space="preserve">Postergar inicio del piloto y reprogramar capacitación de repartidores
</t>
  </si>
  <si>
    <t>RSK.10</t>
  </si>
  <si>
    <t xml:space="preserve">El coordinador logístico de Enpolex no se encuentra disponible para sesiones de validación, testing y capacitación debido a sus responsabilidades operativas
</t>
  </si>
  <si>
    <t>Cancelación de 2 o más reuniones consecutivas con el coordinador</t>
  </si>
  <si>
    <t>Calendario fijo de reuniones acordado al inicio del proyecto, agendado con 2 semanas de anticipación. Designación de un backup dentro de Enpolex</t>
  </si>
  <si>
    <t>Replanificar tareas dependientes de validaciones y escalar al sponsor del proyecto</t>
  </si>
  <si>
    <t>RSK.11</t>
  </si>
  <si>
    <t>Consumo de Mapbox API superior al tier gratuito (50k cargas/mes), generando costos no presupuestados</t>
  </si>
  <si>
    <t>Consumo mensual supera 35k cargas (70% del tier gratuito)</t>
  </si>
  <si>
    <t>Implementar caché local de tiles del mapa y monitoreo mensual del consumo con alertas automáticas</t>
  </si>
  <si>
    <t>Migrar a OpenStreetMap como proveedor alternativo o solicitar ampliación presupuestaria</t>
  </si>
  <si>
    <t>RSK.12</t>
  </si>
  <si>
    <t xml:space="preserve"> La app móvil presenta lentitud o consumo excesivo de batería en los smartphones de gama media asignados al piloto</t>
  </si>
  <si>
    <t>Tiempo de respuesta de la app &gt; 3 segundos en operaciones críticas durante testing</t>
  </si>
  <si>
    <t>Pruebas de performance en dispositivos reales durante el desarrollo. Optimización de imágenes y carga diferida de recursos</t>
  </si>
  <si>
    <t>Definir requerimientos mínimos de hardware y solicitar reemplazo de dispositivos al cliente</t>
  </si>
  <si>
    <t>RSK.13</t>
  </si>
  <si>
    <t>Bugs no detectados durante el testing que se manifiestan en producción afectando la operación de Enpolex</t>
  </si>
  <si>
    <t>Reporte de bug crítico en operación</t>
  </si>
  <si>
    <t>Testing incremental al cierre de cada módulo. Cobertura mínima del 70% en pruebas unitarias. Beta testing con usuarios reales antes del go-live</t>
  </si>
  <si>
    <t>Equipo de desarrollo disponible para hotfix con SLA de 24 horas durante el primer mes post-implementación</t>
  </si>
  <si>
    <t>RSK.14</t>
  </si>
  <si>
    <t>Los repartidores continúan usando métodos manuales en paralelo a la app, generando inconsistencias y minando la utilidad del sistema</t>
  </si>
  <si>
    <t>Tasa de uso de la app inferior al 70% al cierre del Mes 4</t>
  </si>
  <si>
    <t>Capacitación práctica con casos reales. Designación de un repartidor "champion" como referente. Comunicación constante de beneficios</t>
  </si>
  <si>
    <t>Sesiones de refuerzo individuales y posibles incentivos económicos por uso correcto del sistema</t>
  </si>
  <si>
    <t>RSK.15</t>
  </si>
  <si>
    <t>Variaciones bruscas del tipo de cambio o aumentos inflacionarios significativos durante la ejecución del proyecto que afecten costos en pesos</t>
  </si>
  <si>
    <t>Variación del tipo de cambio superior al 10% en un mes</t>
  </si>
  <si>
    <t>Facturación al cliente en USD con liquidación al tipo de cambio del día. Cláusula de actualización en el contrato</t>
  </si>
  <si>
    <t>Renegociación trimestral del contrato si la variación acumulada supera el 25%</t>
  </si>
  <si>
    <t>Grupo de Riesgos</t>
  </si>
  <si>
    <t xml:space="preserve"> Probabilidad</t>
  </si>
  <si>
    <t>Detalles para Riesgos - Probabilidad: 0.75, Impacto: 0.75</t>
  </si>
  <si>
    <t>Detalles para Riesgos - Probabilidad: 0.75, Impacto: 1</t>
  </si>
  <si>
    <t>Detalles para Riesgos - Probabilidad: 1, Impacto: 0.25</t>
  </si>
  <si>
    <t>Detalles para Riesgos - Probabilidad: 0.5, Impacto: 0.25</t>
  </si>
  <si>
    <t>Detalles para Riesgos - Probabilidad: 0.25, Impacto: 0.5</t>
  </si>
  <si>
    <t>Ejemplo: Si se decide avanzar con otras inciativas que demanden los mismos recursos que el actual proyecto, se producirán atrasos y sobrecostos.</t>
  </si>
  <si>
    <t>Ejemplo</t>
  </si>
  <si>
    <t>Riesgos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</si>
</sst>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25">
    <font>
      <sz val="11"/>
      <color theme="1"/>
      <name val="Calibri"/>
      <family val="2"/>
      <scheme val="minor"/>
    </font>
    <font>
      <sz val="8"/>
      <name val="Calibri"/>
      <family val="2"/>
      <scheme val="minor"/>
    </font>
    <font>
      <i/>
      <sz val="11"/>
      <color rgb="FFFF0000"/>
      <name val="Calibri"/>
      <family val="2"/>
      <scheme val="minor"/>
    </font>
    <font>
      <sz val="11"/>
      <color theme="1"/>
      <name val="Calibri"/>
      <family val="2"/>
      <scheme val="minor"/>
    </font>
    <font>
      <sz val="11"/>
      <color theme="0"/>
      <name val="Arial"/>
      <family val="2"/>
    </font>
    <font>
      <sz val="11"/>
      <color rgb="FF004254"/>
      <name val="Arial"/>
      <family val="2"/>
    </font>
    <font>
      <b/>
      <sz val="9"/>
      <color theme="1"/>
      <name val="Calibri"/>
      <family val="2"/>
      <scheme val="minor"/>
    </font>
    <font>
      <sz val="9"/>
      <color theme="1"/>
      <name val="Calibri"/>
      <family val="2"/>
      <scheme val="minor"/>
    </font>
    <font>
      <sz val="8"/>
      <color theme="1"/>
      <name val="Calibri"/>
      <family val="2"/>
      <scheme val="minor"/>
    </font>
    <font>
      <b/>
      <sz val="14"/>
      <color rgb="FF000000"/>
      <name val="Arial"/>
      <family val="2"/>
    </font>
    <font>
      <sz val="11"/>
      <color rgb="FF000000"/>
      <name val="Arial"/>
      <family val="2"/>
    </font>
    <font>
      <b/>
      <sz val="7"/>
      <color rgb="FF000000"/>
      <name val="Times New Roman"/>
      <family val="1"/>
    </font>
    <font>
      <b/>
      <sz val="10"/>
      <color rgb="FF000000"/>
      <name val="Arial"/>
      <family val="2"/>
    </font>
    <font>
      <sz val="10"/>
      <color rgb="FF000000"/>
      <name val="Arial"/>
      <family val="2"/>
    </font>
    <font>
      <b/>
      <sz val="11"/>
      <color rgb="FF000000"/>
      <name val="Arial"/>
      <family val="2"/>
    </font>
    <font>
      <sz val="10"/>
      <color theme="1"/>
      <name val="Arial"/>
      <family val="2"/>
    </font>
    <font>
      <sz val="13"/>
      <color rgb="FF2E75B5"/>
      <name val="Arial"/>
      <family val="2"/>
    </font>
    <font>
      <b/>
      <sz val="13"/>
      <color rgb="FF000000"/>
      <name val="Arial"/>
      <family val="2"/>
    </font>
    <font>
      <sz val="11"/>
      <color rgb="FF000000"/>
      <name val="Noto Sans Symbols"/>
    </font>
    <font>
      <sz val="7"/>
      <color rgb="FF000000"/>
      <name val="Times New Roman"/>
      <family val="1"/>
    </font>
    <font>
      <sz val="10"/>
      <name val="Arial"/>
      <family val="2"/>
    </font>
    <font>
      <sz val="24"/>
      <color theme="1"/>
      <name val="Calibri"/>
      <family val="2"/>
      <scheme val="minor"/>
    </font>
    <font>
      <b/>
      <sz val="11"/>
      <color theme="1"/>
      <name val="Calibri"/>
      <family val="2"/>
      <scheme val="minor"/>
    </font>
    <font>
      <b/>
      <sz val="11"/>
      <color rgb="FF000000"/>
      <name val="Arial"/>
    </font>
    <font>
      <sz val="11"/>
      <color rgb="FF000000"/>
      <name val="Arial"/>
    </font>
  </fonts>
  <fills count="21">
    <fill>
      <patternFill patternType="none"/>
    </fill>
    <fill>
      <patternFill patternType="gray125"/>
    </fill>
    <fill>
      <patternFill patternType="solid">
        <fgColor theme="0" tint="-0.14999847407452621"/>
        <bgColor indexed="64"/>
      </patternFill>
    </fill>
    <fill>
      <patternFill patternType="solid">
        <fgColor rgb="FF03657C"/>
        <bgColor indexed="64"/>
      </patternFill>
    </fill>
    <fill>
      <patternFill patternType="solid">
        <fgColor rgb="FFE8E8E8"/>
        <bgColor indexed="64"/>
      </patternFill>
    </fill>
    <fill>
      <patternFill patternType="solid">
        <fgColor them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D0CECE"/>
        <bgColor indexed="64"/>
      </patternFill>
    </fill>
    <fill>
      <patternFill patternType="solid">
        <fgColor rgb="FFE7E6E6"/>
        <bgColor indexed="64"/>
      </patternFill>
    </fill>
    <fill>
      <patternFill patternType="solid">
        <fgColor rgb="FFF2F2F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rgb="FF00B050"/>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92D050"/>
        <bgColor indexed="64"/>
      </patternFill>
    </fill>
  </fills>
  <borders count="9">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medium">
        <color rgb="FFA6A6A6"/>
      </top>
      <bottom style="medium">
        <color rgb="FFA6A6A6"/>
      </bottom>
      <diagonal/>
    </border>
    <border>
      <left/>
      <right style="medium">
        <color rgb="FFA6A6A6"/>
      </right>
      <top style="medium">
        <color rgb="FFA6A6A6"/>
      </top>
      <bottom style="medium">
        <color rgb="FFA6A6A6"/>
      </bottom>
      <diagonal/>
    </border>
    <border>
      <left style="thin">
        <color theme="0"/>
      </left>
      <right/>
      <top style="thin">
        <color theme="0"/>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9" fontId="3" fillId="0" borderId="0" applyFont="0" applyFill="0" applyBorder="0" applyAlignment="0" applyProtection="0"/>
  </cellStyleXfs>
  <cellXfs count="90">
    <xf numFmtId="0" fontId="0" fillId="0" borderId="0" xfId="0"/>
    <xf numFmtId="0" fontId="0" fillId="0" borderId="0" xfId="0" applyAlignment="1">
      <alignment horizontal="left"/>
    </xf>
    <xf numFmtId="9" fontId="0" fillId="0" borderId="0" xfId="0" applyNumberFormat="1"/>
    <xf numFmtId="0" fontId="8" fillId="0" borderId="0" xfId="0" applyFont="1" applyAlignment="1">
      <alignment horizontal="left"/>
    </xf>
    <xf numFmtId="0" fontId="0" fillId="0" borderId="1" xfId="0" applyBorder="1"/>
    <xf numFmtId="0" fontId="4" fillId="3" borderId="1" xfId="0" applyFont="1" applyFill="1" applyBorder="1" applyAlignment="1">
      <alignment wrapText="1"/>
    </xf>
    <xf numFmtId="0" fontId="5" fillId="4" borderId="1" xfId="0" applyFont="1" applyFill="1" applyBorder="1" applyAlignment="1">
      <alignment horizontal="center" vertical="center" wrapText="1"/>
    </xf>
    <xf numFmtId="0" fontId="5" fillId="4" borderId="1" xfId="0" applyFont="1" applyFill="1" applyBorder="1" applyAlignment="1">
      <alignment wrapText="1"/>
    </xf>
    <xf numFmtId="0" fontId="4" fillId="3" borderId="1" xfId="0" applyFont="1" applyFill="1" applyBorder="1" applyAlignment="1">
      <alignment horizontal="left" vertical="top" wrapText="1"/>
    </xf>
    <xf numFmtId="0" fontId="5" fillId="4" borderId="1" xfId="0" applyFont="1" applyFill="1" applyBorder="1" applyProtection="1">
      <protection locked="0"/>
    </xf>
    <xf numFmtId="0" fontId="5" fillId="4" borderId="1" xfId="0" applyFont="1" applyFill="1" applyBorder="1"/>
    <xf numFmtId="0" fontId="4" fillId="3" borderId="1" xfId="0" applyFont="1" applyFill="1" applyBorder="1" applyAlignment="1">
      <alignment horizontal="center" vertical="top" wrapText="1"/>
    </xf>
    <xf numFmtId="0" fontId="4" fillId="3" borderId="1" xfId="0" applyFont="1" applyFill="1" applyBorder="1" applyAlignment="1">
      <alignment vertical="top" wrapText="1"/>
    </xf>
    <xf numFmtId="0" fontId="2" fillId="0" borderId="1" xfId="0" applyFont="1" applyBorder="1"/>
    <xf numFmtId="9" fontId="0" fillId="0" borderId="1" xfId="1" applyFont="1" applyBorder="1"/>
    <xf numFmtId="0" fontId="0" fillId="0" borderId="1" xfId="0" applyBorder="1" applyAlignment="1">
      <alignment horizontal="center"/>
    </xf>
    <xf numFmtId="0" fontId="7" fillId="0" borderId="1" xfId="0" applyFont="1" applyBorder="1"/>
    <xf numFmtId="9" fontId="0" fillId="0" borderId="1" xfId="1" applyFont="1"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horizontal="center" vertical="center"/>
    </xf>
    <xf numFmtId="0" fontId="0" fillId="7" borderId="0" xfId="0" applyFill="1"/>
    <xf numFmtId="9" fontId="0" fillId="0" borderId="1" xfId="1" applyFont="1" applyBorder="1" applyAlignment="1">
      <alignment horizontal="center" vertical="center" wrapText="1"/>
    </xf>
    <xf numFmtId="0" fontId="4" fillId="3" borderId="1" xfId="0" applyFont="1" applyFill="1" applyBorder="1" applyAlignment="1">
      <alignment horizontal="center" wrapText="1"/>
    </xf>
    <xf numFmtId="0" fontId="7" fillId="0" borderId="2" xfId="0" applyFont="1" applyBorder="1"/>
    <xf numFmtId="0" fontId="0" fillId="0" borderId="2" xfId="0" applyBorder="1"/>
    <xf numFmtId="0" fontId="0" fillId="0" borderId="3" xfId="0" applyBorder="1"/>
    <xf numFmtId="9" fontId="0" fillId="0" borderId="3" xfId="1" applyFont="1" applyBorder="1"/>
    <xf numFmtId="0" fontId="0" fillId="0" borderId="3" xfId="0" applyBorder="1" applyAlignment="1">
      <alignment horizontal="center"/>
    </xf>
    <xf numFmtId="0" fontId="0" fillId="0" borderId="4" xfId="0" applyBorder="1"/>
    <xf numFmtId="0" fontId="9" fillId="0" borderId="0" xfId="0" applyFont="1" applyAlignment="1">
      <alignment vertical="center"/>
    </xf>
    <xf numFmtId="0" fontId="10" fillId="0" borderId="0" xfId="0" applyFont="1" applyAlignment="1">
      <alignment vertical="center"/>
    </xf>
    <xf numFmtId="0" fontId="9" fillId="0" borderId="0" xfId="0" applyFont="1" applyAlignment="1">
      <alignment horizontal="left" vertical="center" indent="2"/>
    </xf>
    <xf numFmtId="0" fontId="12" fillId="8" borderId="0" xfId="0" applyFont="1" applyFill="1" applyAlignment="1">
      <alignment horizontal="center" vertical="center" wrapText="1"/>
    </xf>
    <xf numFmtId="0" fontId="13" fillId="0" borderId="0" xfId="0" applyFont="1" applyAlignment="1">
      <alignment vertical="center" wrapText="1"/>
    </xf>
    <xf numFmtId="0" fontId="14" fillId="0" borderId="0" xfId="0" applyFont="1" applyAlignment="1">
      <alignment vertical="center"/>
    </xf>
    <xf numFmtId="0" fontId="9" fillId="0" borderId="0" xfId="0" applyFont="1" applyAlignment="1">
      <alignment horizontal="left" vertical="center" indent="3"/>
    </xf>
    <xf numFmtId="0" fontId="16" fillId="0" borderId="0" xfId="0" applyFont="1" applyAlignment="1">
      <alignment horizontal="left" vertical="center" indent="4"/>
    </xf>
    <xf numFmtId="0" fontId="17" fillId="0" borderId="0" xfId="0" applyFont="1" applyAlignment="1">
      <alignment vertical="center"/>
    </xf>
    <xf numFmtId="0" fontId="10" fillId="0" borderId="0" xfId="0" applyFont="1" applyAlignment="1">
      <alignment vertical="center" wrapText="1"/>
    </xf>
    <xf numFmtId="0" fontId="14" fillId="9" borderId="0" xfId="0" applyFont="1" applyFill="1" applyAlignment="1">
      <alignment horizontal="center" vertical="center" wrapText="1"/>
    </xf>
    <xf numFmtId="0" fontId="10" fillId="10" borderId="0" xfId="0" applyFont="1" applyFill="1" applyAlignment="1">
      <alignment horizontal="center" vertical="center" wrapText="1"/>
    </xf>
    <xf numFmtId="0" fontId="10" fillId="11" borderId="0" xfId="0" applyFont="1" applyFill="1" applyAlignment="1">
      <alignment horizontal="center" vertical="center" wrapText="1"/>
    </xf>
    <xf numFmtId="0" fontId="18" fillId="0" borderId="0" xfId="0" applyFont="1" applyAlignment="1">
      <alignment horizontal="left" vertical="center" indent="5"/>
    </xf>
    <xf numFmtId="0" fontId="0" fillId="13" borderId="1" xfId="0" applyFill="1" applyBorder="1" applyAlignment="1">
      <alignment vertical="center" wrapText="1"/>
    </xf>
    <xf numFmtId="0" fontId="20" fillId="14" borderId="3" xfId="0" applyFont="1" applyFill="1" applyBorder="1" applyAlignment="1">
      <alignment horizontal="left" vertical="top"/>
    </xf>
    <xf numFmtId="0" fontId="0" fillId="14" borderId="3" xfId="0" applyFill="1" applyBorder="1" applyAlignment="1">
      <alignment horizontal="left" vertical="top" wrapText="1"/>
    </xf>
    <xf numFmtId="0" fontId="0" fillId="14" borderId="3" xfId="0" applyFill="1" applyBorder="1" applyAlignment="1">
      <alignment horizontal="left" vertical="top"/>
    </xf>
    <xf numFmtId="0" fontId="0" fillId="15" borderId="1" xfId="0" applyFill="1" applyBorder="1" applyAlignment="1">
      <alignment horizontal="left" vertical="top"/>
    </xf>
    <xf numFmtId="0" fontId="0" fillId="15" borderId="1" xfId="0" applyFill="1" applyBorder="1" applyAlignment="1">
      <alignment horizontal="left" vertical="top" wrapText="1"/>
    </xf>
    <xf numFmtId="0" fontId="20" fillId="14" borderId="3" xfId="0" applyFont="1" applyFill="1" applyBorder="1" applyAlignment="1">
      <alignment horizontal="left" vertical="center"/>
    </xf>
    <xf numFmtId="0" fontId="0" fillId="14" borderId="7" xfId="0" applyFill="1" applyBorder="1" applyAlignment="1">
      <alignment horizontal="left" vertical="top"/>
    </xf>
    <xf numFmtId="0" fontId="0" fillId="15" borderId="1" xfId="0" applyFill="1" applyBorder="1" applyAlignment="1">
      <alignment horizontal="left" vertical="center"/>
    </xf>
    <xf numFmtId="0" fontId="0" fillId="14" borderId="3" xfId="0" applyFill="1" applyBorder="1" applyAlignment="1">
      <alignment horizontal="left" vertical="center"/>
    </xf>
    <xf numFmtId="0" fontId="20" fillId="15" borderId="1" xfId="0" applyFont="1" applyFill="1" applyBorder="1" applyAlignment="1">
      <alignment horizontal="left" vertical="top"/>
    </xf>
    <xf numFmtId="0" fontId="20" fillId="14" borderId="3" xfId="0" applyFont="1" applyFill="1" applyBorder="1" applyAlignment="1">
      <alignment horizontal="left" vertical="top" wrapText="1"/>
    </xf>
    <xf numFmtId="0" fontId="21" fillId="0" borderId="0" xfId="0" applyFont="1"/>
    <xf numFmtId="9" fontId="21" fillId="0" borderId="0" xfId="0" applyNumberFormat="1" applyFont="1"/>
    <xf numFmtId="9" fontId="21" fillId="0" borderId="0" xfId="0" applyNumberFormat="1" applyFont="1" applyAlignment="1">
      <alignment horizontal="left"/>
    </xf>
    <xf numFmtId="43" fontId="21" fillId="17" borderId="0" xfId="0" applyNumberFormat="1" applyFont="1" applyFill="1"/>
    <xf numFmtId="43" fontId="21" fillId="19" borderId="0" xfId="0" applyNumberFormat="1" applyFont="1" applyFill="1"/>
    <xf numFmtId="43" fontId="21" fillId="18" borderId="0" xfId="0" applyNumberFormat="1" applyFont="1" applyFill="1"/>
    <xf numFmtId="43" fontId="21" fillId="20" borderId="0" xfId="0" applyNumberFormat="1" applyFont="1" applyFill="1"/>
    <xf numFmtId="43" fontId="21" fillId="16" borderId="0" xfId="0" applyNumberFormat="1" applyFont="1" applyFill="1"/>
    <xf numFmtId="0" fontId="0" fillId="0" borderId="0" xfId="0" applyAlignment="1">
      <alignment wrapText="1"/>
    </xf>
    <xf numFmtId="0" fontId="22" fillId="0" borderId="0" xfId="0" applyFont="1"/>
    <xf numFmtId="49" fontId="6" fillId="5" borderId="8" xfId="0" applyNumberFormat="1" applyFont="1" applyFill="1" applyBorder="1" applyAlignment="1">
      <alignment vertical="top" wrapText="1"/>
    </xf>
    <xf numFmtId="14" fontId="6" fillId="2" borderId="8" xfId="0" applyNumberFormat="1" applyFont="1" applyFill="1" applyBorder="1" applyAlignment="1">
      <alignment vertical="top" wrapText="1"/>
    </xf>
    <xf numFmtId="49" fontId="6" fillId="2" borderId="8" xfId="0" applyNumberFormat="1" applyFont="1" applyFill="1" applyBorder="1" applyAlignment="1">
      <alignment vertical="top" wrapText="1"/>
    </xf>
    <xf numFmtId="9" fontId="6" fillId="2" borderId="8" xfId="1" applyFont="1" applyFill="1" applyBorder="1" applyAlignment="1">
      <alignment vertical="top" wrapText="1"/>
    </xf>
    <xf numFmtId="0" fontId="6" fillId="2" borderId="8" xfId="0" applyFont="1" applyFill="1" applyBorder="1" applyAlignment="1">
      <alignment vertical="top" wrapText="1"/>
    </xf>
    <xf numFmtId="49" fontId="6" fillId="2" borderId="8" xfId="0" applyNumberFormat="1" applyFont="1" applyFill="1" applyBorder="1" applyAlignment="1">
      <alignment horizontal="center" vertical="top" wrapText="1"/>
    </xf>
    <xf numFmtId="49" fontId="0" fillId="5" borderId="8" xfId="0" applyNumberFormat="1" applyFill="1" applyBorder="1" applyAlignment="1">
      <alignment vertical="top" wrapText="1"/>
    </xf>
    <xf numFmtId="14" fontId="0" fillId="0" borderId="8" xfId="0" applyNumberFormat="1" applyBorder="1" applyAlignment="1">
      <alignment horizontal="left" vertical="top" wrapText="1"/>
    </xf>
    <xf numFmtId="49" fontId="0" fillId="6" borderId="8" xfId="0" applyNumberFormat="1" applyFill="1" applyBorder="1" applyAlignment="1">
      <alignment vertical="top" wrapText="1"/>
    </xf>
    <xf numFmtId="49" fontId="0" fillId="0" borderId="8" xfId="0" applyNumberFormat="1" applyBorder="1" applyAlignment="1">
      <alignment vertical="top" wrapText="1"/>
    </xf>
    <xf numFmtId="0" fontId="0" fillId="6" borderId="8" xfId="0" applyFill="1" applyBorder="1" applyAlignment="1">
      <alignment vertical="top"/>
    </xf>
    <xf numFmtId="9" fontId="0" fillId="6" borderId="8" xfId="1" applyFont="1" applyFill="1" applyBorder="1" applyAlignment="1">
      <alignment horizontal="center" vertical="top" wrapText="1"/>
    </xf>
    <xf numFmtId="2" fontId="0" fillId="0" borderId="8" xfId="0" applyNumberFormat="1" applyBorder="1" applyAlignment="1">
      <alignment horizontal="center" vertical="center"/>
    </xf>
    <xf numFmtId="49" fontId="0" fillId="0" borderId="8" xfId="0" applyNumberFormat="1" applyBorder="1" applyAlignment="1">
      <alignment horizontal="center" vertical="top" wrapText="1"/>
    </xf>
    <xf numFmtId="9" fontId="0" fillId="0" borderId="4" xfId="1" applyFont="1" applyBorder="1"/>
    <xf numFmtId="0" fontId="0" fillId="0" borderId="4" xfId="0" applyBorder="1" applyAlignment="1">
      <alignment horizontal="center"/>
    </xf>
    <xf numFmtId="0" fontId="14" fillId="9" borderId="5" xfId="0" applyFont="1" applyFill="1" applyBorder="1" applyAlignment="1">
      <alignment horizontal="center" vertical="center" wrapText="1"/>
    </xf>
    <xf numFmtId="0" fontId="14" fillId="9" borderId="6" xfId="0" applyFont="1" applyFill="1" applyBorder="1" applyAlignment="1">
      <alignment horizontal="center" vertical="center" wrapText="1"/>
    </xf>
    <xf numFmtId="0" fontId="12" fillId="0" borderId="0" xfId="0" applyFont="1" applyAlignment="1">
      <alignment horizontal="center" vertical="top" wrapText="1"/>
    </xf>
    <xf numFmtId="0" fontId="14" fillId="0" borderId="0" xfId="0" applyFont="1" applyAlignment="1">
      <alignment horizontal="left" vertical="center" wrapText="1"/>
    </xf>
    <xf numFmtId="0" fontId="10" fillId="0" borderId="0" xfId="0" applyFont="1" applyAlignment="1">
      <alignment horizontal="left" vertical="top" wrapText="1"/>
    </xf>
    <xf numFmtId="0" fontId="10" fillId="6" borderId="0" xfId="0" applyFont="1" applyFill="1" applyAlignment="1">
      <alignment horizontal="center" vertical="center" wrapText="1"/>
    </xf>
    <xf numFmtId="0" fontId="0" fillId="12" borderId="1" xfId="0" applyFill="1" applyBorder="1" applyAlignment="1">
      <alignment horizontal="center" vertical="center" wrapText="1"/>
    </xf>
    <xf numFmtId="0" fontId="20" fillId="12" borderId="1" xfId="0" applyFont="1" applyFill="1" applyBorder="1" applyAlignment="1">
      <alignment horizontal="center" vertical="center" wrapText="1"/>
    </xf>
    <xf numFmtId="0" fontId="0" fillId="0" borderId="1" xfId="0" applyBorder="1" applyAlignment="1">
      <alignment horizontal="center" vertical="center"/>
    </xf>
  </cellXfs>
  <cellStyles count="2">
    <cellStyle name="Normal" xfId="0" builtinId="0"/>
    <cellStyle name="Porcentaj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Probabilidad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radarChart>
        <c:radarStyle val="marker"/>
        <c:varyColors val="0"/>
        <c:ser>
          <c:idx val="0"/>
          <c:order val="0"/>
          <c:spPr>
            <a:ln w="28575" cap="rnd">
              <a:solidFill>
                <a:schemeClr val="accent1"/>
              </a:solidFill>
              <a:round/>
            </a:ln>
            <a:effectLst/>
          </c:spPr>
          <c:marker>
            <c:symbol val="none"/>
          </c:marker>
          <c:cat>
            <c:strRef>
              <c:f>Gráficas!$A$6:$A$10</c:f>
              <c:strCache>
                <c:ptCount val="5"/>
                <c:pt idx="0">
                  <c:v>Riesgos asociados a los Requisitos del Producto y/o Entregables del Proyecto</c:v>
                </c:pt>
                <c:pt idx="1">
                  <c:v>Riesgos asociados al trabajo específico a realizar</c:v>
                </c:pt>
                <c:pt idx="2">
                  <c:v>Riesgos Contractuales</c:v>
                </c:pt>
                <c:pt idx="3">
                  <c:v>Riesgos asociados a los Requisitos del Producto y/o Entregables del Proyecto</c:v>
                </c:pt>
                <c:pt idx="4">
                  <c:v>Riesgos asociados al Proceso y Métodos de Gestión del Proyecto</c:v>
                </c:pt>
              </c:strCache>
            </c:strRef>
          </c:cat>
          <c:val>
            <c:numRef>
              <c:f>Gráficas!$B$6:$B$10</c:f>
              <c:numCache>
                <c:formatCode>0%</c:formatCode>
                <c:ptCount val="5"/>
                <c:pt idx="0">
                  <c:v>0.25</c:v>
                </c:pt>
                <c:pt idx="1">
                  <c:v>0.5</c:v>
                </c:pt>
                <c:pt idx="2">
                  <c:v>0.75</c:v>
                </c:pt>
                <c:pt idx="3">
                  <c:v>0.25</c:v>
                </c:pt>
                <c:pt idx="4">
                  <c:v>0.5</c:v>
                </c:pt>
              </c:numCache>
            </c:numRef>
          </c:val>
          <c:extLst>
            <c:ext xmlns:c16="http://schemas.microsoft.com/office/drawing/2014/chart" uri="{C3380CC4-5D6E-409C-BE32-E72D297353CC}">
              <c16:uniqueId val="{00000000-768B-466C-AB66-AC37A5B52595}"/>
            </c:ext>
          </c:extLst>
        </c:ser>
        <c:dLbls>
          <c:showLegendKey val="0"/>
          <c:showVal val="0"/>
          <c:showCatName val="0"/>
          <c:showSerName val="0"/>
          <c:showPercent val="0"/>
          <c:showBubbleSize val="0"/>
        </c:dLbls>
        <c:axId val="1239210896"/>
        <c:axId val="1239211312"/>
      </c:radarChart>
      <c:catAx>
        <c:axId val="123921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39211312"/>
        <c:crosses val="autoZero"/>
        <c:auto val="1"/>
        <c:lblAlgn val="ctr"/>
        <c:lblOffset val="100"/>
        <c:noMultiLvlLbl val="0"/>
      </c:catAx>
      <c:valAx>
        <c:axId val="12392113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39210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Impacto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radarChart>
        <c:radarStyle val="marker"/>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Gráficas!$D$6:$D$10</c:f>
              <c:strCache>
                <c:ptCount val="5"/>
                <c:pt idx="0">
                  <c:v>Riesgos asociados a los Requisitos del Producto y/o Entregables del Proyecto</c:v>
                </c:pt>
                <c:pt idx="1">
                  <c:v>Riesgos asociados al trabajo específico a realizar</c:v>
                </c:pt>
                <c:pt idx="2">
                  <c:v>Riesgos Contractuales</c:v>
                </c:pt>
                <c:pt idx="3">
                  <c:v>Riesgos asociados a los Requisitos del Producto y/o Entregables del Proyecto</c:v>
                </c:pt>
                <c:pt idx="4">
                  <c:v>Riesgos asociados al Proceso y Métodos de Gestión del Proyecto</c:v>
                </c:pt>
              </c:strCache>
            </c:strRef>
          </c:cat>
          <c:val>
            <c:numRef>
              <c:f>Gráficas!$E$6:$E$10</c:f>
              <c:numCache>
                <c:formatCode>0%</c:formatCode>
                <c:ptCount val="5"/>
                <c:pt idx="0">
                  <c:v>0.75</c:v>
                </c:pt>
                <c:pt idx="1">
                  <c:v>0.75</c:v>
                </c:pt>
                <c:pt idx="2">
                  <c:v>0.5</c:v>
                </c:pt>
                <c:pt idx="3">
                  <c:v>0.75</c:v>
                </c:pt>
                <c:pt idx="4">
                  <c:v>0.75</c:v>
                </c:pt>
              </c:numCache>
            </c:numRef>
          </c:val>
          <c:extLst>
            <c:ext xmlns:c16="http://schemas.microsoft.com/office/drawing/2014/chart" uri="{C3380CC4-5D6E-409C-BE32-E72D297353CC}">
              <c16:uniqueId val="{00000000-03CD-43A2-ABC0-5FC88E5DCEAC}"/>
            </c:ext>
          </c:extLst>
        </c:ser>
        <c:dLbls>
          <c:showLegendKey val="0"/>
          <c:showVal val="0"/>
          <c:showCatName val="0"/>
          <c:showSerName val="0"/>
          <c:showPercent val="0"/>
          <c:showBubbleSize val="0"/>
        </c:dLbls>
        <c:axId val="1227706080"/>
        <c:axId val="1227705664"/>
      </c:radarChart>
      <c:catAx>
        <c:axId val="122770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27705664"/>
        <c:crosses val="autoZero"/>
        <c:auto val="1"/>
        <c:lblAlgn val="ctr"/>
        <c:lblOffset val="100"/>
        <c:noMultiLvlLbl val="0"/>
      </c:catAx>
      <c:valAx>
        <c:axId val="12277056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27706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Exposición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radarChart>
        <c:radarStyle val="marker"/>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Gráficas!$D$6:$D$10</c:f>
              <c:strCache>
                <c:ptCount val="5"/>
                <c:pt idx="0">
                  <c:v>Riesgos asociados a los Requisitos del Producto y/o Entregables del Proyecto</c:v>
                </c:pt>
                <c:pt idx="1">
                  <c:v>Riesgos asociados al trabajo específico a realizar</c:v>
                </c:pt>
                <c:pt idx="2">
                  <c:v>Riesgos Contractuales</c:v>
                </c:pt>
                <c:pt idx="3">
                  <c:v>Riesgos asociados a los Requisitos del Producto y/o Entregables del Proyecto</c:v>
                </c:pt>
                <c:pt idx="4">
                  <c:v>Riesgos asociados al Proceso y Métodos de Gestión del Proyecto</c:v>
                </c:pt>
              </c:strCache>
            </c:strRef>
          </c:cat>
          <c:val>
            <c:numRef>
              <c:f>Gráficas!$E$6:$E$10</c:f>
              <c:numCache>
                <c:formatCode>0%</c:formatCode>
                <c:ptCount val="5"/>
                <c:pt idx="0">
                  <c:v>0.75</c:v>
                </c:pt>
                <c:pt idx="1">
                  <c:v>0.75</c:v>
                </c:pt>
                <c:pt idx="2">
                  <c:v>0.5</c:v>
                </c:pt>
                <c:pt idx="3">
                  <c:v>0.75</c:v>
                </c:pt>
                <c:pt idx="4">
                  <c:v>0.75</c:v>
                </c:pt>
              </c:numCache>
            </c:numRef>
          </c:val>
          <c:extLst>
            <c:ext xmlns:c16="http://schemas.microsoft.com/office/drawing/2014/chart" uri="{C3380CC4-5D6E-409C-BE32-E72D297353CC}">
              <c16:uniqueId val="{00000000-B185-4EF4-B0B4-16EF9375E858}"/>
            </c:ext>
          </c:extLst>
        </c:ser>
        <c:dLbls>
          <c:showLegendKey val="0"/>
          <c:showVal val="0"/>
          <c:showCatName val="0"/>
          <c:showSerName val="0"/>
          <c:showPercent val="0"/>
          <c:showBubbleSize val="0"/>
        </c:dLbls>
        <c:axId val="1227706080"/>
        <c:axId val="1227705664"/>
      </c:radarChart>
      <c:catAx>
        <c:axId val="122770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27705664"/>
        <c:crosses val="autoZero"/>
        <c:auto val="1"/>
        <c:lblAlgn val="ctr"/>
        <c:lblOffset val="100"/>
        <c:noMultiLvlLbl val="0"/>
      </c:catAx>
      <c:valAx>
        <c:axId val="12277056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27706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4.png"/><Relationship Id="rId4"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46</xdr:row>
      <xdr:rowOff>0</xdr:rowOff>
    </xdr:from>
    <xdr:to>
      <xdr:col>4</xdr:col>
      <xdr:colOff>695325</xdr:colOff>
      <xdr:row>60</xdr:row>
      <xdr:rowOff>57150</xdr:rowOff>
    </xdr:to>
    <xdr:pic>
      <xdr:nvPicPr>
        <xdr:cNvPr id="2" name="image2.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706225"/>
          <a:ext cx="3743325" cy="2724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47</xdr:row>
      <xdr:rowOff>0</xdr:rowOff>
    </xdr:from>
    <xdr:to>
      <xdr:col>9</xdr:col>
      <xdr:colOff>38100</xdr:colOff>
      <xdr:row>57</xdr:row>
      <xdr:rowOff>66675</xdr:rowOff>
    </xdr:to>
    <xdr:pic>
      <xdr:nvPicPr>
        <xdr:cNvPr id="3" name="Imagen 2">
          <a:extLst>
            <a:ext uri="{FF2B5EF4-FFF2-40B4-BE49-F238E27FC236}">
              <a16:creationId xmlns:a16="http://schemas.microsoft.com/office/drawing/2014/main" id="{8AD7E4C6-D38A-9DFB-DCD0-DB683C146E85}"/>
            </a:ext>
            <a:ext uri="{147F2762-F138-4A5C-976F-8EAC2B608ADB}">
              <a16:predDERef xmlns:a16="http://schemas.microsoft.com/office/drawing/2014/main" pred="{00000000-0008-0000-0000-000002000000}"/>
            </a:ext>
          </a:extLst>
        </xdr:cNvPr>
        <xdr:cNvPicPr>
          <a:picLocks noChangeAspect="1"/>
        </xdr:cNvPicPr>
      </xdr:nvPicPr>
      <xdr:blipFill>
        <a:blip xmlns:r="http://schemas.openxmlformats.org/officeDocument/2006/relationships" r:embed="rId2"/>
        <a:stretch>
          <a:fillRect/>
        </a:stretch>
      </xdr:blipFill>
      <xdr:spPr>
        <a:xfrm>
          <a:off x="5667375" y="12039600"/>
          <a:ext cx="4572000" cy="1971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28575</xdr:rowOff>
    </xdr:from>
    <xdr:to>
      <xdr:col>1</xdr:col>
      <xdr:colOff>670983</xdr:colOff>
      <xdr:row>1</xdr:row>
      <xdr:rowOff>251884</xdr:rowOff>
    </xdr:to>
    <xdr:pic>
      <xdr:nvPicPr>
        <xdr:cNvPr id="6" name="Imagen 2">
          <a:extLst>
            <a:ext uri="{FF2B5EF4-FFF2-40B4-BE49-F238E27FC236}">
              <a16:creationId xmlns:a16="http://schemas.microsoft.com/office/drawing/2014/main" id="{4CE35392-E958-4F66-8D1E-D7189DDF0597}"/>
            </a:ext>
            <a:ext uri="{147F2762-F138-4A5C-976F-8EAC2B608ADB}">
              <a16:predDERef xmlns:a16="http://schemas.microsoft.com/office/drawing/2014/main" pre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8575"/>
          <a:ext cx="1680633" cy="423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9</xdr:col>
      <xdr:colOff>127000</xdr:colOff>
      <xdr:row>0</xdr:row>
      <xdr:rowOff>85725</xdr:rowOff>
    </xdr:from>
    <xdr:to>
      <xdr:col>12</xdr:col>
      <xdr:colOff>721670</xdr:colOff>
      <xdr:row>4</xdr:row>
      <xdr:rowOff>34699</xdr:rowOff>
    </xdr:to>
    <xdr:sp macro="" textlink="">
      <xdr:nvSpPr>
        <xdr:cNvPr id="7" name="CuadroTexto 6">
          <a:extLst>
            <a:ext uri="{FF2B5EF4-FFF2-40B4-BE49-F238E27FC236}">
              <a16:creationId xmlns:a16="http://schemas.microsoft.com/office/drawing/2014/main" id="{4B7DA356-1B3A-43A0-91C5-A241C546966F}"/>
            </a:ext>
          </a:extLst>
        </xdr:cNvPr>
        <xdr:cNvSpPr txBox="1"/>
      </xdr:nvSpPr>
      <xdr:spPr>
        <a:xfrm>
          <a:off x="11906250" y="85725"/>
          <a:ext cx="3736862" cy="7109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200" b="1"/>
            <a:t>Atajos para ordenar la lista de riesgos:</a:t>
          </a:r>
        </a:p>
        <a:p>
          <a:r>
            <a:rPr lang="es-AR" sz="1200"/>
            <a:t>Presione </a:t>
          </a:r>
          <a:r>
            <a:rPr lang="es-AR" sz="1200" b="1"/>
            <a:t>Ctrl+R</a:t>
          </a:r>
          <a:r>
            <a:rPr lang="es-AR" sz="1200"/>
            <a:t> para ordenar por ID Riesgo</a:t>
          </a:r>
        </a:p>
        <a:p>
          <a:r>
            <a:rPr lang="es-AR" sz="1200"/>
            <a:t>Presione </a:t>
          </a:r>
          <a:r>
            <a:rPr lang="es-AR" sz="1200" b="1"/>
            <a:t>Ctrl+E</a:t>
          </a:r>
          <a:r>
            <a:rPr lang="es-AR" sz="1200"/>
            <a:t> para ordenar por Exposición</a:t>
          </a:r>
        </a:p>
      </xdr:txBody>
    </xdr:sp>
    <xdr:clientData fPrintsWithSheet="0"/>
  </xdr:twoCellAnchor>
  <xdr:twoCellAnchor editAs="oneCell">
    <xdr:from>
      <xdr:col>0</xdr:col>
      <xdr:colOff>180975</xdr:colOff>
      <xdr:row>0</xdr:row>
      <xdr:rowOff>57150</xdr:rowOff>
    </xdr:from>
    <xdr:to>
      <xdr:col>2</xdr:col>
      <xdr:colOff>1628775</xdr:colOff>
      <xdr:row>4</xdr:row>
      <xdr:rowOff>0</xdr:rowOff>
    </xdr:to>
    <xdr:pic>
      <xdr:nvPicPr>
        <xdr:cNvPr id="6" name="Imagen 5">
          <a:extLst>
            <a:ext uri="{FF2B5EF4-FFF2-40B4-BE49-F238E27FC236}">
              <a16:creationId xmlns:a16="http://schemas.microsoft.com/office/drawing/2014/main" id="{7F88C35E-1565-45D7-8738-9761BC8D8496}"/>
            </a:ext>
            <a:ext uri="{147F2762-F138-4A5C-976F-8EAC2B608ADB}">
              <a16:predDERef xmlns:a16="http://schemas.microsoft.com/office/drawing/2014/main" pred="{4B7DA356-1B3A-43A0-91C5-A241C5469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57150"/>
          <a:ext cx="2819400" cy="704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1781175</xdr:colOff>
      <xdr:row>2</xdr:row>
      <xdr:rowOff>56515</xdr:rowOff>
    </xdr:to>
    <xdr:pic>
      <xdr:nvPicPr>
        <xdr:cNvPr id="2" name="Imagen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781175" cy="437515"/>
        </a:xfrm>
        <a:prstGeom prst="rect">
          <a:avLst/>
        </a:prstGeom>
        <a:noFill/>
        <a:ln>
          <a:noFill/>
        </a:ln>
      </xdr:spPr>
    </xdr:pic>
    <xdr:clientData/>
  </xdr:twoCellAnchor>
  <xdr:twoCellAnchor>
    <xdr:from>
      <xdr:col>0</xdr:col>
      <xdr:colOff>9525</xdr:colOff>
      <xdr:row>12</xdr:row>
      <xdr:rowOff>85725</xdr:rowOff>
    </xdr:from>
    <xdr:to>
      <xdr:col>2</xdr:col>
      <xdr:colOff>19050</xdr:colOff>
      <xdr:row>26</xdr:row>
      <xdr:rowOff>161925</xdr:rowOff>
    </xdr:to>
    <xdr:graphicFrame macro="">
      <xdr:nvGraphicFramePr>
        <xdr:cNvPr id="3" name="Gráfico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9525</xdr:colOff>
      <xdr:row>12</xdr:row>
      <xdr:rowOff>19050</xdr:rowOff>
    </xdr:from>
    <xdr:to>
      <xdr:col>5</xdr:col>
      <xdr:colOff>9525</xdr:colOff>
      <xdr:row>26</xdr:row>
      <xdr:rowOff>95250</xdr:rowOff>
    </xdr:to>
    <xdr:graphicFrame macro="">
      <xdr:nvGraphicFramePr>
        <xdr:cNvPr id="4" name="Gráfico 3">
          <a:extLst>
            <a:ext uri="{FF2B5EF4-FFF2-40B4-BE49-F238E27FC236}">
              <a16:creationId xmlns:a16="http://schemas.microsoft.com/office/drawing/2014/main" id="{00000000-0008-0000-0400-000004000000}"/>
            </a:ext>
            <a:ext uri="{147F2762-F138-4A5C-976F-8EAC2B608ADB}">
              <a16:predDERef xmlns:a16="http://schemas.microsoft.com/office/drawing/2014/main" pre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21167</xdr:colOff>
      <xdr:row>12</xdr:row>
      <xdr:rowOff>21167</xdr:rowOff>
    </xdr:from>
    <xdr:to>
      <xdr:col>8</xdr:col>
      <xdr:colOff>21166</xdr:colOff>
      <xdr:row>26</xdr:row>
      <xdr:rowOff>97367</xdr:rowOff>
    </xdr:to>
    <xdr:graphicFrame macro="">
      <xdr:nvGraphicFramePr>
        <xdr:cNvPr id="5" name="Gráfico 4">
          <a:extLst>
            <a:ext uri="{FF2B5EF4-FFF2-40B4-BE49-F238E27FC236}">
              <a16:creationId xmlns:a16="http://schemas.microsoft.com/office/drawing/2014/main" id="{00000000-0008-0000-0400-000005000000}"/>
            </a:ext>
            <a:ext uri="{147F2762-F138-4A5C-976F-8EAC2B608ADB}">
              <a16:predDERef xmlns:a16="http://schemas.microsoft.com/office/drawing/2014/main" pre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180976</xdr:colOff>
      <xdr:row>5</xdr:row>
      <xdr:rowOff>133350</xdr:rowOff>
    </xdr:from>
    <xdr:to>
      <xdr:col>7</xdr:col>
      <xdr:colOff>504826</xdr:colOff>
      <xdr:row>7</xdr:row>
      <xdr:rowOff>152400</xdr:rowOff>
    </xdr:to>
    <xdr:sp macro="" textlink="">
      <xdr:nvSpPr>
        <xdr:cNvPr id="2" name="Flecha izquierda 2">
          <a:extLst>
            <a:ext uri="{FF2B5EF4-FFF2-40B4-BE49-F238E27FC236}">
              <a16:creationId xmlns:a16="http://schemas.microsoft.com/office/drawing/2014/main" id="{00000000-0008-0000-0500-000003000000}"/>
            </a:ext>
          </a:extLst>
        </xdr:cNvPr>
        <xdr:cNvSpPr/>
      </xdr:nvSpPr>
      <xdr:spPr>
        <a:xfrm>
          <a:off x="6981826" y="2133600"/>
          <a:ext cx="1162050" cy="819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lt"/>
              <a:cs typeface="+mn-lt"/>
            </a:rPr>
            <a:t>Exposicion</a:t>
          </a:r>
        </a:p>
      </xdr:txBody>
    </xdr:sp>
    <xdr:clientData/>
  </xdr:twoCellAnchor>
  <xdr:twoCellAnchor editAs="oneCell">
    <xdr:from>
      <xdr:col>7</xdr:col>
      <xdr:colOff>733425</xdr:colOff>
      <xdr:row>1</xdr:row>
      <xdr:rowOff>352424</xdr:rowOff>
    </xdr:from>
    <xdr:to>
      <xdr:col>14</xdr:col>
      <xdr:colOff>154400</xdr:colOff>
      <xdr:row>7</xdr:row>
      <xdr:rowOff>352425</xdr:rowOff>
    </xdr:to>
    <xdr:pic>
      <xdr:nvPicPr>
        <xdr:cNvPr id="4" name="Google Shape;315;p23" descr="Sigue el camino del análisis de riesgos | INCIBE">
          <a:extLst>
            <a:ext uri="{FF2B5EF4-FFF2-40B4-BE49-F238E27FC236}">
              <a16:creationId xmlns:a16="http://schemas.microsoft.com/office/drawing/2014/main" id="{00000000-0008-0000-0500-000004000000}"/>
            </a:ext>
          </a:extLst>
        </xdr:cNvPr>
        <xdr:cNvPicPr preferRelativeResize="0"/>
      </xdr:nvPicPr>
      <xdr:blipFill rotWithShape="1">
        <a:blip xmlns:r="http://schemas.openxmlformats.org/officeDocument/2006/relationships" r:embed="rId1">
          <a:alphaModFix/>
        </a:blip>
        <a:srcRect/>
        <a:stretch/>
      </xdr:blipFill>
      <xdr:spPr>
        <a:xfrm>
          <a:off x="7086600" y="752474"/>
          <a:ext cx="4831175" cy="2400301"/>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CC4E00-5D6F-45B8-A56A-CC6D3F859716}" name="Tabla1" displayName="Tabla1" ref="A9:G11" totalsRowShown="0">
  <autoFilter ref="A9:G11" xr:uid="{18CC4E00-5D6F-45B8-A56A-CC6D3F859716}"/>
  <tableColumns count="7">
    <tableColumn id="1" xr3:uid="{7AD473A4-1333-4559-A030-3B0F7400940A}" name="Grupo de Riesgo"/>
    <tableColumn id="2" xr3:uid="{4AC4B699-BC63-444C-8F44-C5916B464753}" name="Categoría"/>
    <tableColumn id="3" xr3:uid="{31415DEC-8D3E-4198-A8B6-13C2A71B01C4}" name="Descripción"/>
    <tableColumn id="4" xr3:uid="{C1EB9610-A611-48CE-B814-81D1A4AFA16B}" name="Estado"/>
    <tableColumn id="5" xr3:uid="{9F5692F4-6302-4F89-B55A-08A66AC4B3C7}" name="Probabilidad"/>
    <tableColumn id="6" xr3:uid="{D0F2DE10-A376-4B68-9681-113689D45752}" name="Impacto"/>
    <tableColumn id="7" xr3:uid="{46727756-49A8-4C0D-97E5-CF33D172CE1A}" name="Exposició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B49A721-28E6-4F6E-BC91-7034D6D8EFC0}" name="Tabla2" displayName="Tabla2" ref="A3:G5" totalsRowShown="0">
  <autoFilter ref="A3:G5" xr:uid="{9B49A721-28E6-4F6E-BC91-7034D6D8EFC0}"/>
  <tableColumns count="7">
    <tableColumn id="1" xr3:uid="{731CA5D0-8168-4D77-ADA3-BBB06BCF0C84}" name="Grupo de Riesgo"/>
    <tableColumn id="2" xr3:uid="{AB378888-C62A-4552-8DEC-FFCFDEA81DE9}" name="Categoría"/>
    <tableColumn id="3" xr3:uid="{9D063C71-EC38-4AEF-A0DD-AD6ACE4A2559}" name="Descripción"/>
    <tableColumn id="4" xr3:uid="{F60BEC76-9151-4DDA-8E15-13F52FC6DDA3}" name="Estado"/>
    <tableColumn id="5" xr3:uid="{E20DE374-58C4-49F3-A717-BFFC1C66BD64}" name="Probabilidad"/>
    <tableColumn id="6" xr3:uid="{0219CDC5-D4AA-43B2-BCEA-AAF248FA81CC}" name="Impacto"/>
    <tableColumn id="7" xr3:uid="{2E00F8A7-0474-461D-8C8D-4B1BEBFDFD37}" name="Exposició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18A0DC0-52A0-49E3-A167-5D59ABB33A92}" name="Tabla3" displayName="Tabla3" ref="A3:G5" totalsRowShown="0">
  <autoFilter ref="A3:G5" xr:uid="{E18A0DC0-52A0-49E3-A167-5D59ABB33A92}"/>
  <tableColumns count="7">
    <tableColumn id="1" xr3:uid="{A37598C0-B647-49B8-823C-769601214078}" name="Grupo de Riesgo"/>
    <tableColumn id="2" xr3:uid="{27CBED7A-05FB-4D31-A11E-3C0B54BE9A92}" name="Categoría"/>
    <tableColumn id="3" xr3:uid="{887214A8-E3F2-4754-B355-D0EA7E9E4186}" name="Descripción"/>
    <tableColumn id="4" xr3:uid="{00671E48-3DD5-4B78-9741-B95F0DD0D49A}" name="Estado"/>
    <tableColumn id="5" xr3:uid="{512A9B0B-41CC-4A98-ACE5-6CDFA2DBECDF}" name="Probabilidad"/>
    <tableColumn id="6" xr3:uid="{CEF11EF5-0E6F-4D5C-BCDF-0A1455EA576E}" name="Impacto"/>
    <tableColumn id="7" xr3:uid="{5D2D8E6C-3D27-4B39-9DE0-3900F7DC041E}" name="Exposi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275B5A1-E117-4C8C-9F3A-A6289DB5D8BA}" name="Tabla4" displayName="Tabla4" ref="A3:G4" totalsRowShown="0">
  <autoFilter ref="A3:G4" xr:uid="{E275B5A1-E117-4C8C-9F3A-A6289DB5D8BA}"/>
  <tableColumns count="7">
    <tableColumn id="1" xr3:uid="{0125F373-B7F7-44D2-9F76-B2CBAD94ED55}" name="Grupo de Riesgo"/>
    <tableColumn id="2" xr3:uid="{5AB60408-82AF-4691-817C-034A69F7B4E9}" name="Categoría"/>
    <tableColumn id="3" xr3:uid="{313ADEFC-6C7C-42A0-9A12-8A2E7880BF0E}" name="Descripción"/>
    <tableColumn id="4" xr3:uid="{B4293A4C-DB4B-4DC6-8987-8D97ADE9459D}" name="Estado"/>
    <tableColumn id="5" xr3:uid="{AFA9CE00-2D21-4630-8702-BBE305457E0A}" name="Probabilidad"/>
    <tableColumn id="6" xr3:uid="{87E14450-407F-4ED2-87AF-F8BC42017671}" name="Impacto"/>
    <tableColumn id="7" xr3:uid="{66C8AB48-26D0-4635-9A57-89B56A8E31A4}" name="Exposició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E6FB456-7BDA-4857-8496-BA172A189D63}" name="Tabla5" displayName="Tabla5" ref="A3:G4" totalsRowShown="0">
  <autoFilter ref="A3:G4" xr:uid="{AE6FB456-7BDA-4857-8496-BA172A189D63}"/>
  <tableColumns count="7">
    <tableColumn id="1" xr3:uid="{0E5BEB56-1FB1-4EFF-9301-B6CFC916EB7D}" name="Grupo de Riesgo"/>
    <tableColumn id="2" xr3:uid="{8034AB9C-9A2E-4090-BDA3-3E5548DCBE25}" name="Categoría"/>
    <tableColumn id="3" xr3:uid="{1E9F4122-A0E6-4762-9B22-1E848C3BDC4D}" name="Descripción"/>
    <tableColumn id="4" xr3:uid="{AEEA6B8C-468C-4E79-AA00-A39F3891BC2F}" name="Estado"/>
    <tableColumn id="5" xr3:uid="{5F4F509C-F1D6-44B1-AFA2-756D306696B9}" name="Probabilidad"/>
    <tableColumn id="6" xr3:uid="{EDDF96EC-25F7-4F1F-A152-D3D0A5A7E749}" name="Impacto"/>
    <tableColumn id="7" xr3:uid="{031B63A9-3B0A-4B05-9EAC-ADD611C180F8}" name="Exposició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BEAE7D-3B7F-443A-BF29-FDBFC34A1BD5}" name="Tabla6" displayName="Tabla6" ref="A3:G4" totalsRowShown="0">
  <autoFilter ref="A3:G4" xr:uid="{0DBEAE7D-3B7F-443A-BF29-FDBFC34A1BD5}"/>
  <tableColumns count="7">
    <tableColumn id="1" xr3:uid="{58D72E0A-A0D1-4D04-ADF2-A02002AE4186}" name="Grupo de Riesgo"/>
    <tableColumn id="2" xr3:uid="{3D5D33C7-A7D3-4121-AA60-7E449D16EB8C}" name="Categoría"/>
    <tableColumn id="3" xr3:uid="{921DCD75-E666-406D-A8FE-2D4CB09E942C}" name="Descripción"/>
    <tableColumn id="4" xr3:uid="{32ECBC6D-2456-4C37-A85F-C3A2D26801BD}" name="Estado"/>
    <tableColumn id="5" xr3:uid="{064219C4-08DE-412E-A6F4-437D9A3AB362}" name="Probabilidad"/>
    <tableColumn id="6" xr3:uid="{8410CD23-B85F-4E02-A66B-C3EB477894A3}" name="Impacto"/>
    <tableColumn id="7" xr3:uid="{D9A89090-3E53-44D9-8DEB-62C0A728BBB0}" name="Exposició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53D18B2-F209-4C59-BD34-EB8299AC95BF}" name="Tabla7" displayName="Tabla7" ref="A3:G5" totalsRowShown="0">
  <autoFilter ref="A3:G5" xr:uid="{053D18B2-F209-4C59-BD34-EB8299AC95BF}"/>
  <tableColumns count="7">
    <tableColumn id="1" xr3:uid="{7A8D2A03-FB23-44FA-B1BE-B2AFABBA8125}" name="Grupo de Riesgo"/>
    <tableColumn id="2" xr3:uid="{0BD4D1A5-B9E9-4C6B-8E9C-17162E2CA7AD}" name="Categoría"/>
    <tableColumn id="3" xr3:uid="{77B53B63-6653-4331-A116-3CF7C8F47C80}" name="Descripción"/>
    <tableColumn id="4" xr3:uid="{B052D69F-71A4-4C03-807F-79EBC8CABE1E}" name="Estado"/>
    <tableColumn id="5" xr3:uid="{50610F4F-05B8-48CB-A414-9CE8AB43A25A}" name="Probabilidad"/>
    <tableColumn id="6" xr3:uid="{0ED262A3-9538-489C-B178-126957C9E54B}" name="Impacto"/>
    <tableColumn id="7" xr3:uid="{EDDAB515-6DF8-4D95-83D8-D2A612610599}" name="Exposició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7" tint="0.39997558519241921"/>
  </sheetPr>
  <dimension ref="A1:I56"/>
  <sheetViews>
    <sheetView workbookViewId="0"/>
  </sheetViews>
  <sheetFormatPr defaultColWidth="11.42578125" defaultRowHeight="15"/>
  <cols>
    <col min="1" max="9" width="17" customWidth="1"/>
  </cols>
  <sheetData>
    <row r="1" spans="1:9" ht="18">
      <c r="A1" s="29" t="s">
        <v>0</v>
      </c>
    </row>
    <row r="2" spans="1:9">
      <c r="A2" s="30" t="s">
        <v>1</v>
      </c>
    </row>
    <row r="3" spans="1:9">
      <c r="A3" s="30"/>
    </row>
    <row r="4" spans="1:9" ht="18">
      <c r="A4" s="31" t="s">
        <v>2</v>
      </c>
    </row>
    <row r="5" spans="1:9">
      <c r="A5" s="30"/>
    </row>
    <row r="6" spans="1:9" ht="38.25">
      <c r="A6" s="32" t="s">
        <v>3</v>
      </c>
      <c r="B6" s="32" t="s">
        <v>4</v>
      </c>
      <c r="C6" s="32" t="s">
        <v>5</v>
      </c>
      <c r="D6" s="32" t="s">
        <v>6</v>
      </c>
      <c r="E6" s="32" t="s">
        <v>7</v>
      </c>
      <c r="F6" s="32" t="s">
        <v>8</v>
      </c>
      <c r="G6" s="32" t="s">
        <v>9</v>
      </c>
      <c r="H6" s="32" t="s">
        <v>10</v>
      </c>
      <c r="I6" s="32" t="s">
        <v>11</v>
      </c>
    </row>
    <row r="7" spans="1:9" ht="128.25" customHeight="1">
      <c r="A7" s="33" t="s">
        <v>12</v>
      </c>
      <c r="B7" s="33" t="s">
        <v>13</v>
      </c>
      <c r="C7" s="33" t="s">
        <v>14</v>
      </c>
      <c r="D7" s="33" t="s">
        <v>15</v>
      </c>
      <c r="E7" s="33" t="s">
        <v>16</v>
      </c>
      <c r="F7" s="33" t="s">
        <v>17</v>
      </c>
      <c r="G7" s="33" t="s">
        <v>18</v>
      </c>
      <c r="H7" s="33" t="s">
        <v>19</v>
      </c>
      <c r="I7" s="33" t="s">
        <v>20</v>
      </c>
    </row>
    <row r="8" spans="1:9">
      <c r="A8" s="33"/>
      <c r="B8" s="33"/>
      <c r="C8" s="33"/>
      <c r="D8" s="33"/>
      <c r="E8" s="33"/>
      <c r="F8" s="33"/>
      <c r="G8" s="33"/>
      <c r="H8" s="33"/>
      <c r="I8" s="33"/>
    </row>
    <row r="9" spans="1:9">
      <c r="A9" s="34"/>
    </row>
    <row r="10" spans="1:9" ht="36.75" customHeight="1">
      <c r="A10" s="83" t="s">
        <v>21</v>
      </c>
      <c r="B10" s="83"/>
      <c r="C10" s="83"/>
      <c r="D10" s="83"/>
      <c r="E10" s="83"/>
      <c r="F10" s="83"/>
      <c r="G10" s="83"/>
      <c r="H10" s="83"/>
      <c r="I10" s="83"/>
    </row>
    <row r="12" spans="1:9">
      <c r="A12" s="30"/>
    </row>
    <row r="13" spans="1:9">
      <c r="A13" s="30"/>
    </row>
    <row r="14" spans="1:9" ht="18">
      <c r="A14" s="29" t="s">
        <v>22</v>
      </c>
    </row>
    <row r="15" spans="1:9">
      <c r="A15" s="30" t="s">
        <v>23</v>
      </c>
    </row>
    <row r="16" spans="1:9">
      <c r="A16" s="30"/>
    </row>
    <row r="17" spans="1:9" ht="38.25">
      <c r="A17" s="32" t="s">
        <v>3</v>
      </c>
      <c r="B17" s="32" t="s">
        <v>24</v>
      </c>
      <c r="C17" s="32" t="s">
        <v>25</v>
      </c>
      <c r="D17" s="32" t="s">
        <v>26</v>
      </c>
      <c r="E17" s="32" t="s">
        <v>27</v>
      </c>
    </row>
    <row r="18" spans="1:9" ht="76.5">
      <c r="A18" s="33" t="s">
        <v>28</v>
      </c>
      <c r="B18" s="33" t="s">
        <v>29</v>
      </c>
      <c r="C18" s="33" t="s">
        <v>30</v>
      </c>
      <c r="D18" s="33" t="s">
        <v>31</v>
      </c>
      <c r="E18" s="33" t="s">
        <v>32</v>
      </c>
    </row>
    <row r="19" spans="1:9">
      <c r="A19" s="33"/>
      <c r="B19" s="33"/>
      <c r="C19" s="33"/>
      <c r="D19" s="33"/>
      <c r="E19" s="33"/>
    </row>
    <row r="20" spans="1:9" ht="18">
      <c r="A20" s="35"/>
    </row>
    <row r="21" spans="1:9" ht="18">
      <c r="A21" s="29" t="s">
        <v>33</v>
      </c>
    </row>
    <row r="22" spans="1:9">
      <c r="A22" s="30" t="s">
        <v>34</v>
      </c>
    </row>
    <row r="23" spans="1:9" ht="30" customHeight="1">
      <c r="A23" s="84" t="s">
        <v>35</v>
      </c>
      <c r="B23" s="84"/>
      <c r="C23" s="84"/>
      <c r="D23" s="84"/>
      <c r="E23" s="84"/>
      <c r="F23" s="84"/>
      <c r="G23" s="84"/>
      <c r="H23" s="84"/>
      <c r="I23" s="84"/>
    </row>
    <row r="24" spans="1:9" ht="16.5">
      <c r="A24" s="36"/>
    </row>
    <row r="25" spans="1:9" ht="16.5">
      <c r="A25" s="37" t="s">
        <v>36</v>
      </c>
    </row>
    <row r="26" spans="1:9" ht="40.5" customHeight="1">
      <c r="A26" s="85" t="s">
        <v>37</v>
      </c>
      <c r="B26" s="85"/>
      <c r="C26" s="85"/>
      <c r="D26" s="85"/>
      <c r="E26" s="85"/>
      <c r="F26" s="85"/>
      <c r="G26" s="85"/>
      <c r="H26" s="85"/>
      <c r="I26" s="85"/>
    </row>
    <row r="27" spans="1:9">
      <c r="A27" s="30"/>
    </row>
    <row r="28" spans="1:9" ht="15.75" thickBot="1">
      <c r="A28" s="30"/>
    </row>
    <row r="29" spans="1:9" ht="15.75" thickBot="1">
      <c r="A29" s="38"/>
      <c r="B29" s="81" t="s">
        <v>7</v>
      </c>
      <c r="C29" s="81"/>
      <c r="D29" s="82"/>
    </row>
    <row r="30" spans="1:9">
      <c r="A30" s="39" t="s">
        <v>8</v>
      </c>
      <c r="B30" s="40" t="s">
        <v>38</v>
      </c>
      <c r="C30" s="40" t="s">
        <v>39</v>
      </c>
      <c r="D30" s="40" t="s">
        <v>40</v>
      </c>
    </row>
    <row r="31" spans="1:9">
      <c r="A31" s="40" t="s">
        <v>38</v>
      </c>
      <c r="B31" s="41" t="s">
        <v>41</v>
      </c>
      <c r="C31" s="41" t="s">
        <v>41</v>
      </c>
      <c r="D31" s="41" t="s">
        <v>42</v>
      </c>
    </row>
    <row r="32" spans="1:9">
      <c r="A32" s="40" t="s">
        <v>39</v>
      </c>
      <c r="B32" s="41" t="s">
        <v>41</v>
      </c>
      <c r="C32" s="41" t="s">
        <v>42</v>
      </c>
      <c r="D32" s="41" t="s">
        <v>43</v>
      </c>
    </row>
    <row r="33" spans="1:8">
      <c r="A33" s="40" t="s">
        <v>40</v>
      </c>
      <c r="B33" s="41" t="s">
        <v>42</v>
      </c>
      <c r="C33" s="41" t="s">
        <v>43</v>
      </c>
      <c r="D33" s="41" t="s">
        <v>43</v>
      </c>
    </row>
    <row r="34" spans="1:8">
      <c r="A34" s="30"/>
    </row>
    <row r="35" spans="1:8">
      <c r="A35" s="30"/>
    </row>
    <row r="37" spans="1:8" ht="16.5">
      <c r="A37" s="37"/>
    </row>
    <row r="38" spans="1:8" ht="16.5">
      <c r="A38" s="37"/>
    </row>
    <row r="39" spans="1:8" ht="16.5">
      <c r="A39" s="37" t="s">
        <v>44</v>
      </c>
    </row>
    <row r="40" spans="1:8">
      <c r="A40" s="30" t="s">
        <v>45</v>
      </c>
    </row>
    <row r="41" spans="1:8">
      <c r="A41" s="30" t="s">
        <v>46</v>
      </c>
    </row>
    <row r="42" spans="1:8">
      <c r="A42" s="42" t="s">
        <v>47</v>
      </c>
    </row>
    <row r="43" spans="1:8">
      <c r="A43" s="42" t="s">
        <v>48</v>
      </c>
    </row>
    <row r="44" spans="1:8">
      <c r="A44" s="42" t="s">
        <v>49</v>
      </c>
    </row>
    <row r="45" spans="1:8">
      <c r="A45" s="42" t="s">
        <v>50</v>
      </c>
    </row>
    <row r="46" spans="1:8" ht="36" customHeight="1">
      <c r="A46" s="86" t="s">
        <v>51</v>
      </c>
      <c r="B46" s="86"/>
      <c r="C46" s="86"/>
      <c r="D46" s="86"/>
      <c r="E46" s="86"/>
      <c r="F46" s="86"/>
      <c r="G46" s="86"/>
      <c r="H46" s="86"/>
    </row>
    <row r="48" spans="1:8">
      <c r="F48" s="63"/>
    </row>
    <row r="49" spans="6:6">
      <c r="F49" s="63"/>
    </row>
    <row r="50" spans="6:6">
      <c r="F50" s="63"/>
    </row>
    <row r="51" spans="6:6">
      <c r="F51" s="63"/>
    </row>
    <row r="52" spans="6:6">
      <c r="F52" s="63"/>
    </row>
    <row r="53" spans="6:6">
      <c r="F53" s="63"/>
    </row>
    <row r="54" spans="6:6">
      <c r="F54" s="63"/>
    </row>
    <row r="55" spans="6:6">
      <c r="F55" s="63"/>
    </row>
    <row r="56" spans="6:6">
      <c r="F56" s="63"/>
    </row>
  </sheetData>
  <mergeCells count="5">
    <mergeCell ref="B29:D29"/>
    <mergeCell ref="A10:I10"/>
    <mergeCell ref="A23:I23"/>
    <mergeCell ref="A26:I26"/>
    <mergeCell ref="A46:H4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I101"/>
  <sheetViews>
    <sheetView workbookViewId="0">
      <selection activeCell="B32" sqref="B32"/>
    </sheetView>
  </sheetViews>
  <sheetFormatPr defaultColWidth="11.42578125" defaultRowHeight="15"/>
  <cols>
    <col min="1" max="1" width="35.7109375" bestFit="1" customWidth="1"/>
    <col min="2" max="2" width="43.7109375" customWidth="1"/>
    <col min="3" max="3" width="71.42578125" customWidth="1"/>
    <col min="4" max="6" width="11.42578125" customWidth="1"/>
    <col min="7" max="7" width="130.42578125" bestFit="1" customWidth="1"/>
    <col min="8" max="8" width="52.85546875" bestFit="1" customWidth="1"/>
  </cols>
  <sheetData>
    <row r="2" spans="1:8">
      <c r="A2" s="87" t="s">
        <v>52</v>
      </c>
      <c r="B2" s="87" t="s">
        <v>4</v>
      </c>
      <c r="C2" s="88" t="s">
        <v>53</v>
      </c>
      <c r="D2" s="87" t="s">
        <v>54</v>
      </c>
      <c r="E2" s="87"/>
      <c r="F2" s="87"/>
      <c r="G2" s="87" t="s">
        <v>55</v>
      </c>
      <c r="H2" s="87"/>
    </row>
    <row r="3" spans="1:8" ht="30">
      <c r="A3" s="87"/>
      <c r="B3" s="87"/>
      <c r="C3" s="87"/>
      <c r="D3" s="43" t="s">
        <v>8</v>
      </c>
      <c r="E3" s="43" t="s">
        <v>56</v>
      </c>
      <c r="F3" s="43" t="s">
        <v>9</v>
      </c>
      <c r="G3" s="43" t="s">
        <v>57</v>
      </c>
      <c r="H3" s="43" t="s">
        <v>58</v>
      </c>
    </row>
    <row r="4" spans="1:8">
      <c r="A4" s="44" t="s">
        <v>59</v>
      </c>
      <c r="B4" s="45" t="s">
        <v>60</v>
      </c>
      <c r="C4" s="45" t="s">
        <v>61</v>
      </c>
      <c r="D4" s="46" t="s">
        <v>39</v>
      </c>
      <c r="E4" s="46" t="s">
        <v>62</v>
      </c>
      <c r="F4" s="46" t="s">
        <v>39</v>
      </c>
      <c r="G4" s="46" t="s">
        <v>63</v>
      </c>
      <c r="H4" s="46" t="s">
        <v>64</v>
      </c>
    </row>
    <row r="5" spans="1:8">
      <c r="A5" s="47" t="s">
        <v>59</v>
      </c>
      <c r="B5" s="48" t="s">
        <v>65</v>
      </c>
      <c r="C5" s="48" t="s">
        <v>61</v>
      </c>
      <c r="D5" s="47" t="s">
        <v>39</v>
      </c>
      <c r="E5" s="47" t="s">
        <v>62</v>
      </c>
      <c r="F5" s="47" t="s">
        <v>39</v>
      </c>
      <c r="G5" s="47" t="s">
        <v>66</v>
      </c>
      <c r="H5" s="47" t="s">
        <v>64</v>
      </c>
    </row>
    <row r="6" spans="1:8">
      <c r="A6" s="46" t="s">
        <v>59</v>
      </c>
      <c r="B6" s="45" t="s">
        <v>67</v>
      </c>
      <c r="C6" s="45" t="s">
        <v>68</v>
      </c>
      <c r="D6" s="46" t="s">
        <v>39</v>
      </c>
      <c r="E6" s="46" t="s">
        <v>69</v>
      </c>
      <c r="F6" s="46" t="s">
        <v>40</v>
      </c>
      <c r="G6" s="46" t="s">
        <v>66</v>
      </c>
      <c r="H6" s="46" t="s">
        <v>70</v>
      </c>
    </row>
    <row r="7" spans="1:8">
      <c r="A7" s="47" t="s">
        <v>59</v>
      </c>
      <c r="B7" s="48" t="s">
        <v>71</v>
      </c>
      <c r="C7" s="48" t="s">
        <v>72</v>
      </c>
      <c r="D7" s="47" t="s">
        <v>39</v>
      </c>
      <c r="E7" s="47" t="s">
        <v>69</v>
      </c>
      <c r="F7" s="47" t="s">
        <v>40</v>
      </c>
      <c r="G7" s="47" t="s">
        <v>73</v>
      </c>
      <c r="H7" s="47" t="s">
        <v>64</v>
      </c>
    </row>
    <row r="8" spans="1:8">
      <c r="A8" s="46" t="s">
        <v>59</v>
      </c>
      <c r="B8" s="45" t="s">
        <v>74</v>
      </c>
      <c r="C8" s="45" t="s">
        <v>75</v>
      </c>
      <c r="D8" s="46" t="s">
        <v>38</v>
      </c>
      <c r="E8" s="46" t="s">
        <v>69</v>
      </c>
      <c r="F8" s="46" t="s">
        <v>39</v>
      </c>
      <c r="G8" s="46" t="s">
        <v>76</v>
      </c>
      <c r="H8" s="46" t="s">
        <v>77</v>
      </c>
    </row>
    <row r="9" spans="1:8" ht="30">
      <c r="A9" s="47" t="s">
        <v>59</v>
      </c>
      <c r="B9" s="48" t="s">
        <v>78</v>
      </c>
      <c r="C9" s="48" t="s">
        <v>79</v>
      </c>
      <c r="D9" s="47" t="s">
        <v>39</v>
      </c>
      <c r="E9" s="47" t="s">
        <v>62</v>
      </c>
      <c r="F9" s="47" t="s">
        <v>39</v>
      </c>
      <c r="G9" s="47" t="s">
        <v>80</v>
      </c>
      <c r="H9" s="47" t="s">
        <v>81</v>
      </c>
    </row>
    <row r="10" spans="1:8" ht="30">
      <c r="A10" s="46" t="s">
        <v>59</v>
      </c>
      <c r="B10" s="45" t="s">
        <v>82</v>
      </c>
      <c r="C10" s="45" t="s">
        <v>83</v>
      </c>
      <c r="D10" s="46" t="s">
        <v>39</v>
      </c>
      <c r="E10" s="46" t="s">
        <v>62</v>
      </c>
      <c r="F10" s="46" t="s">
        <v>39</v>
      </c>
      <c r="G10" s="46" t="s">
        <v>84</v>
      </c>
      <c r="H10" s="46" t="s">
        <v>85</v>
      </c>
    </row>
    <row r="11" spans="1:8">
      <c r="A11" s="47" t="s">
        <v>59</v>
      </c>
      <c r="B11" s="48" t="s">
        <v>86</v>
      </c>
      <c r="C11" s="48" t="s">
        <v>87</v>
      </c>
      <c r="D11" s="47" t="s">
        <v>39</v>
      </c>
      <c r="E11" s="47" t="s">
        <v>62</v>
      </c>
      <c r="F11" s="47" t="s">
        <v>39</v>
      </c>
      <c r="G11" s="47" t="s">
        <v>84</v>
      </c>
      <c r="H11" s="47" t="s">
        <v>64</v>
      </c>
    </row>
    <row r="12" spans="1:8">
      <c r="A12" s="46" t="s">
        <v>59</v>
      </c>
      <c r="B12" s="45" t="s">
        <v>88</v>
      </c>
      <c r="C12" s="45" t="s">
        <v>89</v>
      </c>
      <c r="D12" s="46" t="s">
        <v>39</v>
      </c>
      <c r="E12" s="46" t="s">
        <v>69</v>
      </c>
      <c r="F12" s="46" t="s">
        <v>40</v>
      </c>
      <c r="G12" s="46" t="s">
        <v>90</v>
      </c>
      <c r="H12" s="46" t="s">
        <v>64</v>
      </c>
    </row>
    <row r="13" spans="1:8">
      <c r="A13" s="47" t="s">
        <v>59</v>
      </c>
      <c r="B13" s="48" t="s">
        <v>91</v>
      </c>
      <c r="C13" s="48" t="s">
        <v>92</v>
      </c>
      <c r="D13" s="47" t="s">
        <v>39</v>
      </c>
      <c r="E13" s="47" t="s">
        <v>62</v>
      </c>
      <c r="F13" s="47" t="s">
        <v>39</v>
      </c>
      <c r="G13" s="47" t="s">
        <v>93</v>
      </c>
      <c r="H13" s="47" t="s">
        <v>64</v>
      </c>
    </row>
    <row r="14" spans="1:8">
      <c r="A14" s="46" t="s">
        <v>59</v>
      </c>
      <c r="B14" s="45" t="s">
        <v>94</v>
      </c>
      <c r="C14" s="45" t="s">
        <v>95</v>
      </c>
      <c r="D14" s="46" t="s">
        <v>38</v>
      </c>
      <c r="E14" s="46" t="s">
        <v>62</v>
      </c>
      <c r="F14" s="46" t="s">
        <v>96</v>
      </c>
      <c r="G14" s="46" t="s">
        <v>97</v>
      </c>
      <c r="H14" s="46" t="s">
        <v>64</v>
      </c>
    </row>
    <row r="15" spans="1:8" ht="30">
      <c r="A15" s="47" t="s">
        <v>59</v>
      </c>
      <c r="B15" s="48" t="s">
        <v>98</v>
      </c>
      <c r="C15" s="48" t="s">
        <v>99</v>
      </c>
      <c r="D15" s="47" t="s">
        <v>39</v>
      </c>
      <c r="E15" s="47" t="s">
        <v>69</v>
      </c>
      <c r="F15" s="47" t="s">
        <v>40</v>
      </c>
      <c r="G15" s="47" t="s">
        <v>100</v>
      </c>
      <c r="H15" s="47" t="s">
        <v>101</v>
      </c>
    </row>
    <row r="16" spans="1:8" ht="30">
      <c r="A16" s="46" t="s">
        <v>59</v>
      </c>
      <c r="B16" s="45" t="s">
        <v>102</v>
      </c>
      <c r="C16" s="45" t="s">
        <v>103</v>
      </c>
      <c r="D16" s="46" t="s">
        <v>39</v>
      </c>
      <c r="E16" s="46" t="s">
        <v>69</v>
      </c>
      <c r="F16" s="46" t="s">
        <v>40</v>
      </c>
      <c r="G16" s="46" t="s">
        <v>104</v>
      </c>
      <c r="H16" s="46" t="s">
        <v>64</v>
      </c>
    </row>
    <row r="17" spans="1:8">
      <c r="A17" s="47" t="s">
        <v>59</v>
      </c>
      <c r="B17" s="48" t="s">
        <v>105</v>
      </c>
      <c r="C17" s="48" t="s">
        <v>106</v>
      </c>
      <c r="D17" s="47" t="s">
        <v>39</v>
      </c>
      <c r="E17" s="47" t="s">
        <v>62</v>
      </c>
      <c r="F17" s="47" t="s">
        <v>39</v>
      </c>
      <c r="G17" s="47" t="s">
        <v>107</v>
      </c>
      <c r="H17" s="47" t="s">
        <v>64</v>
      </c>
    </row>
    <row r="18" spans="1:8" ht="30">
      <c r="A18" s="46" t="s">
        <v>59</v>
      </c>
      <c r="B18" s="45" t="s">
        <v>108</v>
      </c>
      <c r="C18" s="45" t="s">
        <v>109</v>
      </c>
      <c r="D18" s="46" t="s">
        <v>38</v>
      </c>
      <c r="E18" s="46" t="s">
        <v>69</v>
      </c>
      <c r="F18" s="46" t="s">
        <v>39</v>
      </c>
      <c r="G18" s="46" t="s">
        <v>110</v>
      </c>
      <c r="H18" s="46" t="s">
        <v>111</v>
      </c>
    </row>
    <row r="19" spans="1:8" ht="30">
      <c r="A19" s="47" t="s">
        <v>59</v>
      </c>
      <c r="B19" s="48" t="s">
        <v>112</v>
      </c>
      <c r="C19" s="48" t="s">
        <v>113</v>
      </c>
      <c r="D19" s="47" t="s">
        <v>39</v>
      </c>
      <c r="E19" s="47" t="s">
        <v>69</v>
      </c>
      <c r="F19" s="47" t="s">
        <v>40</v>
      </c>
      <c r="G19" s="47" t="s">
        <v>114</v>
      </c>
      <c r="H19" s="47" t="s">
        <v>101</v>
      </c>
    </row>
    <row r="20" spans="1:8">
      <c r="A20" s="46" t="s">
        <v>59</v>
      </c>
      <c r="B20" s="45" t="s">
        <v>115</v>
      </c>
      <c r="C20" s="45" t="s">
        <v>116</v>
      </c>
      <c r="D20" s="46" t="s">
        <v>39</v>
      </c>
      <c r="E20" s="46" t="s">
        <v>62</v>
      </c>
      <c r="F20" s="46" t="s">
        <v>39</v>
      </c>
      <c r="G20" s="46" t="s">
        <v>66</v>
      </c>
      <c r="H20" s="46" t="s">
        <v>64</v>
      </c>
    </row>
    <row r="21" spans="1:8">
      <c r="A21" s="47" t="s">
        <v>59</v>
      </c>
      <c r="B21" s="48" t="s">
        <v>117</v>
      </c>
      <c r="C21" s="48" t="s">
        <v>116</v>
      </c>
      <c r="D21" s="47" t="s">
        <v>39</v>
      </c>
      <c r="E21" s="47" t="s">
        <v>62</v>
      </c>
      <c r="F21" s="47" t="s">
        <v>39</v>
      </c>
      <c r="G21" s="47" t="s">
        <v>118</v>
      </c>
      <c r="H21" s="47" t="s">
        <v>64</v>
      </c>
    </row>
    <row r="22" spans="1:8" ht="30">
      <c r="A22" s="46" t="s">
        <v>59</v>
      </c>
      <c r="B22" s="45" t="s">
        <v>119</v>
      </c>
      <c r="C22" s="45" t="s">
        <v>116</v>
      </c>
      <c r="D22" s="46" t="s">
        <v>39</v>
      </c>
      <c r="E22" s="46" t="s">
        <v>62</v>
      </c>
      <c r="F22" s="46" t="s">
        <v>39</v>
      </c>
      <c r="G22" s="46" t="s">
        <v>120</v>
      </c>
      <c r="H22" s="46" t="s">
        <v>64</v>
      </c>
    </row>
    <row r="23" spans="1:8">
      <c r="A23" s="47" t="s">
        <v>59</v>
      </c>
      <c r="B23" s="48" t="s">
        <v>121</v>
      </c>
      <c r="C23" s="48" t="s">
        <v>92</v>
      </c>
      <c r="D23" s="47" t="s">
        <v>38</v>
      </c>
      <c r="E23" s="47" t="s">
        <v>69</v>
      </c>
      <c r="F23" s="47" t="s">
        <v>39</v>
      </c>
      <c r="G23" s="47" t="s">
        <v>122</v>
      </c>
      <c r="H23" s="47" t="s">
        <v>123</v>
      </c>
    </row>
    <row r="24" spans="1:8" ht="30">
      <c r="A24" s="46" t="s">
        <v>59</v>
      </c>
      <c r="B24" s="45" t="s">
        <v>124</v>
      </c>
      <c r="C24" s="45" t="s">
        <v>125</v>
      </c>
      <c r="D24" s="46" t="s">
        <v>39</v>
      </c>
      <c r="E24" s="46" t="s">
        <v>69</v>
      </c>
      <c r="F24" s="46" t="s">
        <v>40</v>
      </c>
      <c r="G24" s="46" t="s">
        <v>126</v>
      </c>
      <c r="H24" s="46" t="s">
        <v>127</v>
      </c>
    </row>
    <row r="25" spans="1:8" ht="30">
      <c r="A25" s="47" t="s">
        <v>59</v>
      </c>
      <c r="B25" s="48" t="s">
        <v>128</v>
      </c>
      <c r="C25" s="48" t="s">
        <v>129</v>
      </c>
      <c r="D25" s="47" t="s">
        <v>38</v>
      </c>
      <c r="E25" s="47" t="s">
        <v>62</v>
      </c>
      <c r="F25" s="47" t="s">
        <v>96</v>
      </c>
      <c r="G25" s="47" t="s">
        <v>130</v>
      </c>
      <c r="H25" s="47" t="s">
        <v>131</v>
      </c>
    </row>
    <row r="26" spans="1:8">
      <c r="A26" s="46" t="s">
        <v>59</v>
      </c>
      <c r="B26" s="45" t="s">
        <v>132</v>
      </c>
      <c r="C26" s="45" t="s">
        <v>133</v>
      </c>
      <c r="D26" s="46" t="s">
        <v>38</v>
      </c>
      <c r="E26" s="46" t="s">
        <v>62</v>
      </c>
      <c r="F26" s="46" t="s">
        <v>96</v>
      </c>
      <c r="G26" s="46" t="s">
        <v>134</v>
      </c>
      <c r="H26" s="46" t="s">
        <v>135</v>
      </c>
    </row>
    <row r="27" spans="1:8">
      <c r="A27" s="47" t="s">
        <v>59</v>
      </c>
      <c r="B27" s="48" t="s">
        <v>136</v>
      </c>
      <c r="C27" s="48" t="s">
        <v>137</v>
      </c>
      <c r="D27" s="47" t="s">
        <v>39</v>
      </c>
      <c r="E27" s="47" t="s">
        <v>62</v>
      </c>
      <c r="F27" s="47" t="s">
        <v>39</v>
      </c>
      <c r="G27" s="47" t="s">
        <v>138</v>
      </c>
      <c r="H27" s="47" t="s">
        <v>139</v>
      </c>
    </row>
    <row r="28" spans="1:8" ht="30">
      <c r="A28" s="46" t="s">
        <v>59</v>
      </c>
      <c r="B28" s="45" t="s">
        <v>140</v>
      </c>
      <c r="C28" s="45" t="s">
        <v>141</v>
      </c>
      <c r="D28" s="46" t="s">
        <v>40</v>
      </c>
      <c r="E28" s="46" t="s">
        <v>142</v>
      </c>
      <c r="F28" s="46" t="s">
        <v>39</v>
      </c>
      <c r="G28" s="46" t="s">
        <v>143</v>
      </c>
      <c r="H28" s="46" t="s">
        <v>135</v>
      </c>
    </row>
    <row r="29" spans="1:8">
      <c r="A29" s="47" t="s">
        <v>59</v>
      </c>
      <c r="B29" s="48" t="s">
        <v>144</v>
      </c>
      <c r="C29" s="48"/>
      <c r="D29" s="47" t="s">
        <v>38</v>
      </c>
      <c r="E29" s="47" t="s">
        <v>142</v>
      </c>
      <c r="F29" s="47" t="s">
        <v>96</v>
      </c>
      <c r="G29" s="47" t="s">
        <v>134</v>
      </c>
      <c r="H29" s="47" t="s">
        <v>70</v>
      </c>
    </row>
    <row r="30" spans="1:8" ht="30">
      <c r="A30" s="46" t="s">
        <v>59</v>
      </c>
      <c r="B30" s="45" t="s">
        <v>145</v>
      </c>
      <c r="C30" s="45" t="s">
        <v>146</v>
      </c>
      <c r="D30" s="46" t="s">
        <v>39</v>
      </c>
      <c r="E30" s="46" t="s">
        <v>142</v>
      </c>
      <c r="F30" s="46" t="s">
        <v>96</v>
      </c>
      <c r="G30" s="46" t="s">
        <v>147</v>
      </c>
      <c r="H30" s="46" t="s">
        <v>135</v>
      </c>
    </row>
    <row r="31" spans="1:8">
      <c r="A31" s="49" t="s">
        <v>148</v>
      </c>
      <c r="B31" s="45" t="s">
        <v>149</v>
      </c>
      <c r="C31" s="45" t="s">
        <v>150</v>
      </c>
      <c r="D31" s="46" t="s">
        <v>39</v>
      </c>
      <c r="E31" s="46" t="s">
        <v>62</v>
      </c>
      <c r="F31" s="46"/>
      <c r="G31" s="46" t="s">
        <v>151</v>
      </c>
      <c r="H31" s="46" t="s">
        <v>152</v>
      </c>
    </row>
    <row r="32" spans="1:8" ht="30">
      <c r="A32" s="51" t="s">
        <v>148</v>
      </c>
      <c r="B32" s="48" t="s">
        <v>153</v>
      </c>
      <c r="C32" s="48" t="s">
        <v>154</v>
      </c>
      <c r="D32" s="47" t="s">
        <v>39</v>
      </c>
      <c r="E32" s="47" t="s">
        <v>142</v>
      </c>
      <c r="F32" s="47"/>
      <c r="G32" s="47" t="s">
        <v>155</v>
      </c>
      <c r="H32" s="47" t="s">
        <v>152</v>
      </c>
    </row>
    <row r="33" spans="1:8" ht="30">
      <c r="A33" s="52" t="s">
        <v>148</v>
      </c>
      <c r="B33" s="45" t="s">
        <v>156</v>
      </c>
      <c r="C33" s="45" t="s">
        <v>150</v>
      </c>
      <c r="D33" s="46" t="s">
        <v>39</v>
      </c>
      <c r="E33" s="46" t="s">
        <v>142</v>
      </c>
      <c r="F33" s="46"/>
      <c r="G33" s="46" t="s">
        <v>157</v>
      </c>
      <c r="H33" s="46" t="s">
        <v>152</v>
      </c>
    </row>
    <row r="34" spans="1:8" ht="30">
      <c r="A34" s="51" t="s">
        <v>148</v>
      </c>
      <c r="B34" s="48" t="s">
        <v>158</v>
      </c>
      <c r="C34" s="48" t="s">
        <v>159</v>
      </c>
      <c r="D34" s="47" t="s">
        <v>39</v>
      </c>
      <c r="E34" s="47" t="s">
        <v>62</v>
      </c>
      <c r="F34" s="47"/>
      <c r="G34" s="47" t="s">
        <v>160</v>
      </c>
      <c r="H34" s="47" t="s">
        <v>152</v>
      </c>
    </row>
    <row r="35" spans="1:8" ht="30">
      <c r="A35" s="52" t="s">
        <v>148</v>
      </c>
      <c r="B35" s="45" t="s">
        <v>161</v>
      </c>
      <c r="C35" s="45" t="s">
        <v>162</v>
      </c>
      <c r="D35" s="46" t="s">
        <v>39</v>
      </c>
      <c r="E35" s="46" t="s">
        <v>62</v>
      </c>
      <c r="F35" s="46"/>
      <c r="G35" s="46" t="s">
        <v>163</v>
      </c>
      <c r="H35" s="46" t="s">
        <v>152</v>
      </c>
    </row>
    <row r="36" spans="1:8">
      <c r="A36" s="51" t="s">
        <v>148</v>
      </c>
      <c r="B36" s="48" t="s">
        <v>164</v>
      </c>
      <c r="C36" s="48" t="s">
        <v>150</v>
      </c>
      <c r="D36" s="47" t="s">
        <v>39</v>
      </c>
      <c r="E36" s="47" t="s">
        <v>69</v>
      </c>
      <c r="F36" s="47"/>
      <c r="G36" s="47" t="s">
        <v>165</v>
      </c>
      <c r="H36" s="47" t="s">
        <v>166</v>
      </c>
    </row>
    <row r="37" spans="1:8">
      <c r="A37" s="52" t="s">
        <v>148</v>
      </c>
      <c r="B37" s="45" t="s">
        <v>167</v>
      </c>
      <c r="C37" s="45" t="s">
        <v>168</v>
      </c>
      <c r="D37" s="46" t="s">
        <v>39</v>
      </c>
      <c r="E37" s="46" t="s">
        <v>69</v>
      </c>
      <c r="F37" s="46"/>
      <c r="G37" s="46" t="s">
        <v>169</v>
      </c>
      <c r="H37" s="46" t="s">
        <v>170</v>
      </c>
    </row>
    <row r="38" spans="1:8">
      <c r="A38" s="51" t="s">
        <v>148</v>
      </c>
      <c r="B38" s="48" t="s">
        <v>171</v>
      </c>
      <c r="C38" s="48" t="s">
        <v>172</v>
      </c>
      <c r="D38" s="47" t="s">
        <v>40</v>
      </c>
      <c r="E38" s="47" t="s">
        <v>69</v>
      </c>
      <c r="F38" s="47"/>
      <c r="G38" s="47" t="s">
        <v>173</v>
      </c>
      <c r="H38" s="47" t="s">
        <v>174</v>
      </c>
    </row>
    <row r="39" spans="1:8" ht="30">
      <c r="A39" s="52" t="s">
        <v>148</v>
      </c>
      <c r="B39" s="45" t="s">
        <v>175</v>
      </c>
      <c r="C39" s="45" t="s">
        <v>176</v>
      </c>
      <c r="D39" s="46" t="s">
        <v>39</v>
      </c>
      <c r="E39" s="46" t="s">
        <v>177</v>
      </c>
      <c r="F39" s="46"/>
      <c r="G39" s="46" t="s">
        <v>178</v>
      </c>
      <c r="H39" s="46" t="s">
        <v>179</v>
      </c>
    </row>
    <row r="40" spans="1:8">
      <c r="A40" s="51" t="s">
        <v>148</v>
      </c>
      <c r="B40" s="48" t="s">
        <v>180</v>
      </c>
      <c r="C40" s="48" t="s">
        <v>168</v>
      </c>
      <c r="D40" s="47" t="s">
        <v>39</v>
      </c>
      <c r="E40" s="47" t="s">
        <v>177</v>
      </c>
      <c r="F40" s="47"/>
      <c r="G40" s="47" t="s">
        <v>181</v>
      </c>
      <c r="H40" s="47" t="s">
        <v>182</v>
      </c>
    </row>
    <row r="41" spans="1:8">
      <c r="A41" s="52" t="s">
        <v>148</v>
      </c>
      <c r="B41" s="45" t="s">
        <v>183</v>
      </c>
      <c r="C41" s="45" t="s">
        <v>168</v>
      </c>
      <c r="D41" s="46" t="s">
        <v>40</v>
      </c>
      <c r="E41" s="46" t="s">
        <v>69</v>
      </c>
      <c r="F41" s="46"/>
      <c r="G41" s="46" t="s">
        <v>184</v>
      </c>
      <c r="H41" s="46" t="s">
        <v>152</v>
      </c>
    </row>
    <row r="42" spans="1:8" ht="30">
      <c r="A42" s="51" t="s">
        <v>148</v>
      </c>
      <c r="B42" s="48" t="s">
        <v>185</v>
      </c>
      <c r="C42" s="48" t="s">
        <v>168</v>
      </c>
      <c r="D42" s="47" t="s">
        <v>39</v>
      </c>
      <c r="E42" s="47" t="s">
        <v>62</v>
      </c>
      <c r="F42" s="47"/>
      <c r="G42" s="47" t="s">
        <v>186</v>
      </c>
      <c r="H42" s="47" t="s">
        <v>152</v>
      </c>
    </row>
    <row r="43" spans="1:8">
      <c r="A43" s="52" t="s">
        <v>148</v>
      </c>
      <c r="B43" s="45" t="s">
        <v>187</v>
      </c>
      <c r="C43" s="45" t="s">
        <v>188</v>
      </c>
      <c r="D43" s="46" t="s">
        <v>40</v>
      </c>
      <c r="E43" s="46" t="s">
        <v>62</v>
      </c>
      <c r="F43" s="46"/>
      <c r="G43" s="46" t="s">
        <v>189</v>
      </c>
      <c r="H43" s="46" t="s">
        <v>190</v>
      </c>
    </row>
    <row r="44" spans="1:8">
      <c r="A44" s="53" t="s">
        <v>191</v>
      </c>
      <c r="B44" s="48" t="s">
        <v>192</v>
      </c>
      <c r="C44" s="48" t="s">
        <v>193</v>
      </c>
      <c r="D44" s="47" t="s">
        <v>38</v>
      </c>
      <c r="E44" s="47" t="s">
        <v>62</v>
      </c>
      <c r="F44" s="47"/>
      <c r="G44" s="47" t="s">
        <v>194</v>
      </c>
      <c r="H44" s="47" t="s">
        <v>152</v>
      </c>
    </row>
    <row r="45" spans="1:8">
      <c r="A45" s="46" t="s">
        <v>191</v>
      </c>
      <c r="B45" s="45" t="s">
        <v>195</v>
      </c>
      <c r="C45" s="45" t="s">
        <v>196</v>
      </c>
      <c r="D45" s="46" t="s">
        <v>38</v>
      </c>
      <c r="E45" s="46" t="s">
        <v>62</v>
      </c>
      <c r="F45" s="46"/>
      <c r="G45" s="46" t="s">
        <v>197</v>
      </c>
      <c r="H45" s="46" t="s">
        <v>152</v>
      </c>
    </row>
    <row r="46" spans="1:8">
      <c r="A46" s="47" t="s">
        <v>191</v>
      </c>
      <c r="B46" s="48" t="s">
        <v>198</v>
      </c>
      <c r="C46" s="48" t="s">
        <v>199</v>
      </c>
      <c r="D46" s="47" t="s">
        <v>39</v>
      </c>
      <c r="E46" s="47" t="s">
        <v>62</v>
      </c>
      <c r="F46" s="47"/>
      <c r="G46" s="47" t="s">
        <v>200</v>
      </c>
      <c r="H46" s="47" t="s">
        <v>170</v>
      </c>
    </row>
    <row r="47" spans="1:8" ht="30">
      <c r="A47" s="46" t="s">
        <v>191</v>
      </c>
      <c r="B47" s="45" t="s">
        <v>201</v>
      </c>
      <c r="C47" s="45" t="s">
        <v>202</v>
      </c>
      <c r="D47" s="46" t="s">
        <v>39</v>
      </c>
      <c r="E47" s="46" t="s">
        <v>69</v>
      </c>
      <c r="F47" s="46"/>
      <c r="G47" s="46" t="s">
        <v>203</v>
      </c>
      <c r="H47" s="46" t="s">
        <v>101</v>
      </c>
    </row>
    <row r="48" spans="1:8">
      <c r="A48" s="47" t="s">
        <v>191</v>
      </c>
      <c r="B48" s="48" t="s">
        <v>204</v>
      </c>
      <c r="C48" s="48" t="s">
        <v>205</v>
      </c>
      <c r="D48" s="47" t="s">
        <v>39</v>
      </c>
      <c r="E48" s="47" t="s">
        <v>69</v>
      </c>
      <c r="F48" s="47"/>
      <c r="G48" s="47" t="s">
        <v>206</v>
      </c>
      <c r="H48" s="47" t="s">
        <v>152</v>
      </c>
    </row>
    <row r="49" spans="1:8">
      <c r="A49" s="46" t="s">
        <v>191</v>
      </c>
      <c r="B49" s="45" t="s">
        <v>207</v>
      </c>
      <c r="C49" s="45" t="s">
        <v>208</v>
      </c>
      <c r="D49" s="46" t="s">
        <v>39</v>
      </c>
      <c r="E49" s="46" t="s">
        <v>69</v>
      </c>
      <c r="F49" s="46"/>
      <c r="G49" s="46" t="s">
        <v>209</v>
      </c>
      <c r="H49" s="46" t="s">
        <v>210</v>
      </c>
    </row>
    <row r="50" spans="1:8" ht="30">
      <c r="A50" s="47" t="s">
        <v>191</v>
      </c>
      <c r="B50" s="48" t="s">
        <v>211</v>
      </c>
      <c r="C50" s="48" t="s">
        <v>212</v>
      </c>
      <c r="D50" s="47" t="s">
        <v>38</v>
      </c>
      <c r="E50" s="47" t="s">
        <v>62</v>
      </c>
      <c r="F50" s="47"/>
      <c r="G50" s="47" t="s">
        <v>213</v>
      </c>
      <c r="H50" s="47" t="s">
        <v>210</v>
      </c>
    </row>
    <row r="51" spans="1:8">
      <c r="A51" s="44" t="s">
        <v>214</v>
      </c>
      <c r="B51" s="45" t="s">
        <v>215</v>
      </c>
      <c r="C51" s="45" t="s">
        <v>216</v>
      </c>
      <c r="D51" s="46" t="s">
        <v>38</v>
      </c>
      <c r="E51" s="46" t="s">
        <v>69</v>
      </c>
      <c r="F51" s="46"/>
      <c r="G51" s="46" t="s">
        <v>217</v>
      </c>
      <c r="H51" s="46" t="s">
        <v>210</v>
      </c>
    </row>
    <row r="52" spans="1:8">
      <c r="A52" s="47" t="s">
        <v>214</v>
      </c>
      <c r="B52" s="48" t="s">
        <v>218</v>
      </c>
      <c r="C52" s="48" t="s">
        <v>219</v>
      </c>
      <c r="D52" s="47" t="s">
        <v>40</v>
      </c>
      <c r="E52" s="47" t="s">
        <v>62</v>
      </c>
      <c r="F52" s="47"/>
      <c r="G52" s="47" t="s">
        <v>220</v>
      </c>
      <c r="H52" s="47" t="s">
        <v>210</v>
      </c>
    </row>
    <row r="53" spans="1:8" ht="30">
      <c r="A53" s="46" t="s">
        <v>214</v>
      </c>
      <c r="B53" s="45" t="s">
        <v>221</v>
      </c>
      <c r="C53" s="45" t="s">
        <v>222</v>
      </c>
      <c r="D53" s="46" t="s">
        <v>40</v>
      </c>
      <c r="E53" s="46" t="s">
        <v>69</v>
      </c>
      <c r="F53" s="46"/>
      <c r="G53" s="46" t="s">
        <v>223</v>
      </c>
      <c r="H53" s="46" t="s">
        <v>170</v>
      </c>
    </row>
    <row r="54" spans="1:8" ht="30">
      <c r="A54" s="47" t="s">
        <v>214</v>
      </c>
      <c r="B54" s="48" t="s">
        <v>224</v>
      </c>
      <c r="C54" s="48" t="s">
        <v>225</v>
      </c>
      <c r="D54" s="47" t="s">
        <v>39</v>
      </c>
      <c r="E54" s="47" t="s">
        <v>62</v>
      </c>
      <c r="F54" s="47"/>
      <c r="G54" s="47" t="s">
        <v>226</v>
      </c>
      <c r="H54" s="47" t="s">
        <v>170</v>
      </c>
    </row>
    <row r="55" spans="1:8">
      <c r="A55" s="46" t="s">
        <v>214</v>
      </c>
      <c r="B55" s="45" t="s">
        <v>227</v>
      </c>
      <c r="C55" s="45" t="s">
        <v>228</v>
      </c>
      <c r="D55" s="46" t="s">
        <v>39</v>
      </c>
      <c r="E55" s="46" t="s">
        <v>62</v>
      </c>
      <c r="F55" s="46"/>
      <c r="G55" s="46" t="s">
        <v>229</v>
      </c>
      <c r="H55" s="46" t="s">
        <v>230</v>
      </c>
    </row>
    <row r="56" spans="1:8">
      <c r="A56" s="47" t="s">
        <v>214</v>
      </c>
      <c r="B56" s="48" t="s">
        <v>231</v>
      </c>
      <c r="C56" s="48" t="s">
        <v>232</v>
      </c>
      <c r="D56" s="47" t="s">
        <v>40</v>
      </c>
      <c r="E56" s="47" t="s">
        <v>62</v>
      </c>
      <c r="F56" s="47"/>
      <c r="G56" s="47" t="s">
        <v>233</v>
      </c>
      <c r="H56" s="47" t="s">
        <v>170</v>
      </c>
    </row>
    <row r="57" spans="1:8">
      <c r="A57" s="46" t="s">
        <v>214</v>
      </c>
      <c r="B57" s="45" t="s">
        <v>234</v>
      </c>
      <c r="C57" s="45" t="s">
        <v>235</v>
      </c>
      <c r="D57" s="46" t="s">
        <v>39</v>
      </c>
      <c r="E57" s="46" t="s">
        <v>62</v>
      </c>
      <c r="F57" s="46"/>
      <c r="G57" s="46" t="s">
        <v>236</v>
      </c>
      <c r="H57" s="46" t="s">
        <v>170</v>
      </c>
    </row>
    <row r="58" spans="1:8">
      <c r="A58" s="47" t="s">
        <v>214</v>
      </c>
      <c r="B58" s="48" t="s">
        <v>237</v>
      </c>
      <c r="C58" s="48" t="s">
        <v>238</v>
      </c>
      <c r="D58" s="47" t="s">
        <v>39</v>
      </c>
      <c r="E58" s="47" t="s">
        <v>142</v>
      </c>
      <c r="F58" s="47"/>
      <c r="G58" s="47" t="s">
        <v>239</v>
      </c>
      <c r="H58" s="47" t="s">
        <v>170</v>
      </c>
    </row>
    <row r="59" spans="1:8" ht="30">
      <c r="A59" s="46" t="s">
        <v>214</v>
      </c>
      <c r="B59" s="45" t="s">
        <v>240</v>
      </c>
      <c r="C59" s="45" t="s">
        <v>241</v>
      </c>
      <c r="D59" s="46" t="s">
        <v>39</v>
      </c>
      <c r="E59" s="46" t="s">
        <v>142</v>
      </c>
      <c r="F59" s="46"/>
      <c r="G59" s="46" t="s">
        <v>242</v>
      </c>
      <c r="H59" s="46" t="s">
        <v>170</v>
      </c>
    </row>
    <row r="60" spans="1:8" ht="30">
      <c r="A60" s="47" t="s">
        <v>214</v>
      </c>
      <c r="B60" s="48" t="s">
        <v>243</v>
      </c>
      <c r="C60" s="48" t="s">
        <v>244</v>
      </c>
      <c r="D60" s="47" t="s">
        <v>40</v>
      </c>
      <c r="E60" s="47" t="s">
        <v>62</v>
      </c>
      <c r="F60" s="47"/>
      <c r="G60" s="47" t="s">
        <v>245</v>
      </c>
      <c r="H60" s="47" t="s">
        <v>246</v>
      </c>
    </row>
    <row r="61" spans="1:8" ht="30">
      <c r="A61" s="46" t="s">
        <v>214</v>
      </c>
      <c r="B61" s="45" t="s">
        <v>247</v>
      </c>
      <c r="C61" s="45" t="s">
        <v>248</v>
      </c>
      <c r="D61" s="46" t="s">
        <v>40</v>
      </c>
      <c r="E61" s="46" t="s">
        <v>62</v>
      </c>
      <c r="F61" s="46"/>
      <c r="G61" s="46" t="s">
        <v>249</v>
      </c>
      <c r="H61" s="46" t="s">
        <v>170</v>
      </c>
    </row>
    <row r="62" spans="1:8">
      <c r="A62" s="47" t="s">
        <v>250</v>
      </c>
      <c r="B62" s="48" t="s">
        <v>251</v>
      </c>
      <c r="C62" s="48" t="s">
        <v>252</v>
      </c>
      <c r="D62" s="47" t="s">
        <v>38</v>
      </c>
      <c r="E62" s="47" t="s">
        <v>62</v>
      </c>
      <c r="F62" s="47"/>
      <c r="G62" s="47" t="s">
        <v>253</v>
      </c>
      <c r="H62" s="47" t="s">
        <v>101</v>
      </c>
    </row>
    <row r="63" spans="1:8" ht="30">
      <c r="A63" s="46" t="s">
        <v>250</v>
      </c>
      <c r="B63" s="45" t="s">
        <v>254</v>
      </c>
      <c r="C63" s="45" t="s">
        <v>255</v>
      </c>
      <c r="D63" s="46" t="s">
        <v>39</v>
      </c>
      <c r="E63" s="46" t="s">
        <v>69</v>
      </c>
      <c r="F63" s="46"/>
      <c r="G63" s="46" t="s">
        <v>256</v>
      </c>
      <c r="H63" s="46" t="s">
        <v>257</v>
      </c>
    </row>
    <row r="64" spans="1:8">
      <c r="A64" s="47" t="s">
        <v>250</v>
      </c>
      <c r="B64" s="48" t="s">
        <v>258</v>
      </c>
      <c r="C64" s="48" t="s">
        <v>259</v>
      </c>
      <c r="D64" s="47" t="s">
        <v>39</v>
      </c>
      <c r="E64" s="47" t="s">
        <v>62</v>
      </c>
      <c r="F64" s="47"/>
      <c r="G64" s="47" t="s">
        <v>260</v>
      </c>
      <c r="H64" s="47" t="s">
        <v>261</v>
      </c>
    </row>
    <row r="65" spans="1:8">
      <c r="A65" s="46" t="s">
        <v>250</v>
      </c>
      <c r="B65" s="45" t="s">
        <v>262</v>
      </c>
      <c r="C65" s="45" t="s">
        <v>263</v>
      </c>
      <c r="D65" s="46" t="s">
        <v>39</v>
      </c>
      <c r="E65" s="46" t="s">
        <v>62</v>
      </c>
      <c r="F65" s="46"/>
      <c r="G65" s="46" t="s">
        <v>264</v>
      </c>
      <c r="H65" s="46" t="s">
        <v>265</v>
      </c>
    </row>
    <row r="66" spans="1:8" ht="30">
      <c r="A66" s="47" t="s">
        <v>250</v>
      </c>
      <c r="B66" s="48" t="s">
        <v>266</v>
      </c>
      <c r="C66" s="48" t="s">
        <v>267</v>
      </c>
      <c r="D66" s="47" t="s">
        <v>40</v>
      </c>
      <c r="E66" s="47" t="s">
        <v>142</v>
      </c>
      <c r="F66" s="47"/>
      <c r="G66" s="47" t="s">
        <v>268</v>
      </c>
      <c r="H66" s="47" t="s">
        <v>101</v>
      </c>
    </row>
    <row r="67" spans="1:8" ht="60">
      <c r="A67" s="44" t="s">
        <v>269</v>
      </c>
      <c r="B67" s="45" t="s">
        <v>270</v>
      </c>
      <c r="C67" s="45" t="s">
        <v>271</v>
      </c>
      <c r="D67" s="46" t="s">
        <v>38</v>
      </c>
      <c r="E67" s="46" t="s">
        <v>142</v>
      </c>
      <c r="F67" s="46" t="s">
        <v>96</v>
      </c>
      <c r="G67" s="46" t="s">
        <v>272</v>
      </c>
      <c r="H67" s="45" t="s">
        <v>273</v>
      </c>
    </row>
    <row r="68" spans="1:8" ht="30">
      <c r="A68" s="47" t="s">
        <v>269</v>
      </c>
      <c r="B68" s="48" t="s">
        <v>274</v>
      </c>
      <c r="C68" s="48" t="s">
        <v>275</v>
      </c>
      <c r="D68" s="47" t="s">
        <v>39</v>
      </c>
      <c r="E68" s="47" t="s">
        <v>69</v>
      </c>
      <c r="F68" s="47" t="s">
        <v>40</v>
      </c>
      <c r="G68" s="47" t="s">
        <v>276</v>
      </c>
      <c r="H68" s="47" t="s">
        <v>70</v>
      </c>
    </row>
    <row r="69" spans="1:8">
      <c r="A69" s="46" t="s">
        <v>269</v>
      </c>
      <c r="B69" s="45" t="s">
        <v>277</v>
      </c>
      <c r="C69" s="45" t="s">
        <v>68</v>
      </c>
      <c r="D69" s="46" t="s">
        <v>40</v>
      </c>
      <c r="E69" s="46" t="s">
        <v>142</v>
      </c>
      <c r="F69" s="46" t="s">
        <v>39</v>
      </c>
      <c r="G69" s="46" t="s">
        <v>276</v>
      </c>
      <c r="H69" s="46" t="s">
        <v>70</v>
      </c>
    </row>
    <row r="70" spans="1:8" ht="30">
      <c r="A70" s="47" t="s">
        <v>269</v>
      </c>
      <c r="B70" s="48" t="s">
        <v>278</v>
      </c>
      <c r="C70" s="48" t="s">
        <v>279</v>
      </c>
      <c r="D70" s="47" t="s">
        <v>38</v>
      </c>
      <c r="E70" s="47" t="s">
        <v>62</v>
      </c>
      <c r="F70" s="47" t="s">
        <v>39</v>
      </c>
      <c r="G70" s="47" t="s">
        <v>280</v>
      </c>
      <c r="H70" s="48" t="s">
        <v>281</v>
      </c>
    </row>
    <row r="71" spans="1:8">
      <c r="A71" s="46" t="s">
        <v>269</v>
      </c>
      <c r="B71" s="45" t="s">
        <v>282</v>
      </c>
      <c r="C71" s="45" t="s">
        <v>283</v>
      </c>
      <c r="D71" s="46" t="s">
        <v>38</v>
      </c>
      <c r="E71" s="46" t="s">
        <v>284</v>
      </c>
      <c r="F71" s="46" t="s">
        <v>40</v>
      </c>
      <c r="G71" s="46" t="s">
        <v>285</v>
      </c>
      <c r="H71" s="46" t="s">
        <v>131</v>
      </c>
    </row>
    <row r="72" spans="1:8">
      <c r="A72" s="47" t="s">
        <v>286</v>
      </c>
      <c r="B72" s="48" t="s">
        <v>287</v>
      </c>
      <c r="C72" s="48" t="s">
        <v>288</v>
      </c>
      <c r="D72" s="47" t="s">
        <v>39</v>
      </c>
      <c r="E72" s="47" t="s">
        <v>62</v>
      </c>
      <c r="F72" s="47" t="s">
        <v>39</v>
      </c>
      <c r="G72" s="47" t="s">
        <v>289</v>
      </c>
      <c r="H72" s="47" t="s">
        <v>290</v>
      </c>
    </row>
    <row r="73" spans="1:8" ht="30">
      <c r="A73" s="46" t="s">
        <v>286</v>
      </c>
      <c r="B73" s="45" t="s">
        <v>291</v>
      </c>
      <c r="C73" s="45" t="s">
        <v>292</v>
      </c>
      <c r="D73" s="46" t="s">
        <v>38</v>
      </c>
      <c r="E73" s="46" t="s">
        <v>142</v>
      </c>
      <c r="F73" s="46" t="s">
        <v>96</v>
      </c>
      <c r="G73" s="46" t="s">
        <v>293</v>
      </c>
      <c r="H73" s="46" t="s">
        <v>131</v>
      </c>
    </row>
    <row r="74" spans="1:8">
      <c r="A74" s="47" t="s">
        <v>286</v>
      </c>
      <c r="B74" s="48" t="s">
        <v>294</v>
      </c>
      <c r="C74" s="48" t="s">
        <v>295</v>
      </c>
      <c r="D74" s="47" t="s">
        <v>38</v>
      </c>
      <c r="E74" s="47" t="s">
        <v>296</v>
      </c>
      <c r="F74" s="47" t="s">
        <v>297</v>
      </c>
      <c r="G74" s="47" t="s">
        <v>293</v>
      </c>
      <c r="H74" s="47" t="s">
        <v>131</v>
      </c>
    </row>
    <row r="75" spans="1:8" ht="30">
      <c r="A75" s="46" t="s">
        <v>286</v>
      </c>
      <c r="B75" s="45" t="s">
        <v>298</v>
      </c>
      <c r="C75" s="45" t="s">
        <v>299</v>
      </c>
      <c r="D75" s="46" t="s">
        <v>38</v>
      </c>
      <c r="E75" s="46" t="s">
        <v>62</v>
      </c>
      <c r="F75" s="46" t="s">
        <v>96</v>
      </c>
      <c r="G75" s="46" t="s">
        <v>130</v>
      </c>
      <c r="H75" s="46" t="s">
        <v>131</v>
      </c>
    </row>
    <row r="76" spans="1:8">
      <c r="A76" s="47" t="s">
        <v>286</v>
      </c>
      <c r="B76" s="48" t="s">
        <v>300</v>
      </c>
      <c r="C76" s="48" t="s">
        <v>301</v>
      </c>
      <c r="D76" s="47" t="s">
        <v>39</v>
      </c>
      <c r="E76" s="47" t="s">
        <v>62</v>
      </c>
      <c r="F76" s="47" t="s">
        <v>39</v>
      </c>
      <c r="G76" s="47" t="s">
        <v>302</v>
      </c>
      <c r="H76" s="47" t="s">
        <v>131</v>
      </c>
    </row>
    <row r="77" spans="1:8" ht="30">
      <c r="A77" s="46" t="s">
        <v>286</v>
      </c>
      <c r="B77" s="45" t="s">
        <v>303</v>
      </c>
      <c r="C77" s="45" t="s">
        <v>304</v>
      </c>
      <c r="D77" s="46" t="s">
        <v>38</v>
      </c>
      <c r="E77" s="46" t="s">
        <v>296</v>
      </c>
      <c r="F77" s="46" t="s">
        <v>297</v>
      </c>
      <c r="G77" s="46" t="s">
        <v>305</v>
      </c>
      <c r="H77" s="46" t="s">
        <v>131</v>
      </c>
    </row>
    <row r="78" spans="1:8" ht="30">
      <c r="A78" s="47" t="s">
        <v>286</v>
      </c>
      <c r="B78" s="48" t="s">
        <v>306</v>
      </c>
      <c r="C78" s="48" t="s">
        <v>307</v>
      </c>
      <c r="D78" s="47" t="s">
        <v>38</v>
      </c>
      <c r="E78" s="47" t="s">
        <v>284</v>
      </c>
      <c r="F78" s="47" t="s">
        <v>40</v>
      </c>
      <c r="G78" s="47" t="s">
        <v>130</v>
      </c>
      <c r="H78" s="47" t="s">
        <v>131</v>
      </c>
    </row>
    <row r="79" spans="1:8" ht="30">
      <c r="A79" s="46" t="s">
        <v>286</v>
      </c>
      <c r="B79" s="45" t="s">
        <v>308</v>
      </c>
      <c r="C79" s="45" t="s">
        <v>309</v>
      </c>
      <c r="D79" s="46" t="s">
        <v>38</v>
      </c>
      <c r="E79" s="46" t="s">
        <v>296</v>
      </c>
      <c r="F79" s="46" t="s">
        <v>297</v>
      </c>
      <c r="G79" s="46" t="s">
        <v>310</v>
      </c>
      <c r="H79" s="45" t="s">
        <v>281</v>
      </c>
    </row>
    <row r="80" spans="1:8">
      <c r="A80" s="47" t="s">
        <v>286</v>
      </c>
      <c r="B80" s="48" t="s">
        <v>311</v>
      </c>
      <c r="C80" s="48" t="s">
        <v>312</v>
      </c>
      <c r="D80" s="47" t="s">
        <v>39</v>
      </c>
      <c r="E80" s="47" t="s">
        <v>62</v>
      </c>
      <c r="F80" s="47" t="s">
        <v>39</v>
      </c>
      <c r="G80" s="47" t="s">
        <v>313</v>
      </c>
      <c r="H80" s="48" t="s">
        <v>281</v>
      </c>
    </row>
    <row r="81" spans="1:9" ht="25.5">
      <c r="A81" s="46" t="s">
        <v>286</v>
      </c>
      <c r="B81" s="54" t="s">
        <v>314</v>
      </c>
      <c r="C81" s="45" t="s">
        <v>315</v>
      </c>
      <c r="D81" s="46" t="s">
        <v>38</v>
      </c>
      <c r="E81" s="46" t="s">
        <v>62</v>
      </c>
      <c r="F81" s="46" t="s">
        <v>96</v>
      </c>
      <c r="G81" s="46" t="s">
        <v>313</v>
      </c>
      <c r="H81" s="45" t="s">
        <v>281</v>
      </c>
    </row>
    <row r="82" spans="1:9" ht="30">
      <c r="A82" s="47" t="s">
        <v>286</v>
      </c>
      <c r="B82" s="48" t="s">
        <v>316</v>
      </c>
      <c r="C82" s="48" t="s">
        <v>317</v>
      </c>
      <c r="D82" s="47" t="s">
        <v>39</v>
      </c>
      <c r="E82" s="47" t="s">
        <v>142</v>
      </c>
      <c r="F82" s="47" t="s">
        <v>96</v>
      </c>
      <c r="G82" s="47" t="s">
        <v>318</v>
      </c>
      <c r="H82" s="47" t="s">
        <v>77</v>
      </c>
    </row>
    <row r="83" spans="1:9" ht="30">
      <c r="A83" s="46" t="s">
        <v>286</v>
      </c>
      <c r="B83" s="45" t="s">
        <v>319</v>
      </c>
      <c r="C83" s="45" t="s">
        <v>320</v>
      </c>
      <c r="D83" s="46" t="s">
        <v>38</v>
      </c>
      <c r="E83" s="46" t="s">
        <v>62</v>
      </c>
      <c r="F83" s="46" t="s">
        <v>96</v>
      </c>
      <c r="G83" s="46" t="s">
        <v>321</v>
      </c>
      <c r="H83" s="46" t="s">
        <v>152</v>
      </c>
    </row>
    <row r="84" spans="1:9" ht="30">
      <c r="A84" s="44" t="s">
        <v>322</v>
      </c>
      <c r="B84" s="45" t="s">
        <v>323</v>
      </c>
      <c r="C84" s="45" t="s">
        <v>324</v>
      </c>
      <c r="D84" s="46" t="s">
        <v>39</v>
      </c>
      <c r="E84" s="46" t="s">
        <v>62</v>
      </c>
      <c r="F84" s="46"/>
      <c r="G84" s="46" t="s">
        <v>325</v>
      </c>
      <c r="H84" s="46" t="s">
        <v>135</v>
      </c>
      <c r="I84" s="50" t="s">
        <v>135</v>
      </c>
    </row>
    <row r="85" spans="1:9" ht="30">
      <c r="A85" s="47" t="s">
        <v>322</v>
      </c>
      <c r="B85" s="48" t="s">
        <v>326</v>
      </c>
      <c r="C85" s="48" t="s">
        <v>327</v>
      </c>
      <c r="D85" s="47" t="s">
        <v>38</v>
      </c>
      <c r="E85" s="47" t="s">
        <v>62</v>
      </c>
      <c r="F85" s="47"/>
      <c r="G85" s="47" t="s">
        <v>325</v>
      </c>
      <c r="H85" s="47" t="s">
        <v>135</v>
      </c>
      <c r="I85" s="47" t="s">
        <v>135</v>
      </c>
    </row>
    <row r="86" spans="1:9" ht="30">
      <c r="A86" s="46" t="s">
        <v>322</v>
      </c>
      <c r="B86" s="45" t="s">
        <v>328</v>
      </c>
      <c r="C86" s="45" t="s">
        <v>329</v>
      </c>
      <c r="D86" s="46" t="s">
        <v>39</v>
      </c>
      <c r="E86" s="46" t="s">
        <v>62</v>
      </c>
      <c r="F86" s="46"/>
      <c r="G86" s="46" t="s">
        <v>325</v>
      </c>
      <c r="H86" s="46" t="s">
        <v>135</v>
      </c>
      <c r="I86" s="50" t="s">
        <v>135</v>
      </c>
    </row>
    <row r="87" spans="1:9" ht="30">
      <c r="A87" s="47" t="s">
        <v>322</v>
      </c>
      <c r="B87" s="48" t="s">
        <v>330</v>
      </c>
      <c r="C87" s="48" t="s">
        <v>331</v>
      </c>
      <c r="D87" s="47" t="s">
        <v>38</v>
      </c>
      <c r="E87" s="47" t="s">
        <v>62</v>
      </c>
      <c r="F87" s="47"/>
      <c r="G87" s="47" t="s">
        <v>325</v>
      </c>
      <c r="H87" s="47" t="s">
        <v>135</v>
      </c>
      <c r="I87" s="47" t="s">
        <v>135</v>
      </c>
    </row>
    <row r="88" spans="1:9" ht="30">
      <c r="A88" s="46" t="s">
        <v>322</v>
      </c>
      <c r="B88" s="45" t="s">
        <v>332</v>
      </c>
      <c r="C88" s="45" t="s">
        <v>331</v>
      </c>
      <c r="D88" s="46" t="s">
        <v>39</v>
      </c>
      <c r="E88" s="46" t="s">
        <v>62</v>
      </c>
      <c r="F88" s="46"/>
      <c r="G88" s="46" t="s">
        <v>325</v>
      </c>
      <c r="H88" s="46" t="s">
        <v>70</v>
      </c>
      <c r="I88" s="50" t="s">
        <v>70</v>
      </c>
    </row>
    <row r="89" spans="1:9">
      <c r="A89" s="47" t="s">
        <v>322</v>
      </c>
      <c r="B89" s="48" t="s">
        <v>333</v>
      </c>
      <c r="C89" s="48" t="s">
        <v>334</v>
      </c>
      <c r="D89" s="47" t="s">
        <v>39</v>
      </c>
      <c r="E89" s="47" t="s">
        <v>62</v>
      </c>
      <c r="F89" s="47"/>
      <c r="G89" s="47" t="s">
        <v>321</v>
      </c>
      <c r="H89" s="47" t="s">
        <v>335</v>
      </c>
      <c r="I89" s="47" t="s">
        <v>335</v>
      </c>
    </row>
    <row r="90" spans="1:9" ht="30">
      <c r="A90" s="46" t="s">
        <v>322</v>
      </c>
      <c r="B90" s="45" t="s">
        <v>336</v>
      </c>
      <c r="C90" s="45" t="s">
        <v>337</v>
      </c>
      <c r="D90" s="46" t="s">
        <v>39</v>
      </c>
      <c r="E90" s="46" t="s">
        <v>62</v>
      </c>
      <c r="F90" s="46"/>
      <c r="G90" s="46" t="s">
        <v>321</v>
      </c>
      <c r="H90" s="46" t="s">
        <v>70</v>
      </c>
      <c r="I90" s="50" t="s">
        <v>70</v>
      </c>
    </row>
    <row r="91" spans="1:9" ht="30">
      <c r="A91" s="47" t="s">
        <v>322</v>
      </c>
      <c r="B91" s="48" t="s">
        <v>316</v>
      </c>
      <c r="C91" s="48" t="s">
        <v>317</v>
      </c>
      <c r="D91" s="47" t="s">
        <v>39</v>
      </c>
      <c r="E91" s="47" t="s">
        <v>142</v>
      </c>
      <c r="F91" s="47"/>
      <c r="G91" s="47" t="s">
        <v>318</v>
      </c>
      <c r="H91" s="47" t="s">
        <v>77</v>
      </c>
      <c r="I91" s="47" t="s">
        <v>77</v>
      </c>
    </row>
    <row r="92" spans="1:9" ht="30">
      <c r="A92" s="46" t="s">
        <v>322</v>
      </c>
      <c r="B92" s="45" t="s">
        <v>338</v>
      </c>
      <c r="C92" s="45" t="s">
        <v>339</v>
      </c>
      <c r="D92" s="46" t="s">
        <v>38</v>
      </c>
      <c r="E92" s="46" t="s">
        <v>62</v>
      </c>
      <c r="F92" s="46"/>
      <c r="G92" s="46" t="s">
        <v>325</v>
      </c>
      <c r="H92" s="46" t="s">
        <v>77</v>
      </c>
      <c r="I92" s="50" t="s">
        <v>77</v>
      </c>
    </row>
    <row r="93" spans="1:9" ht="30">
      <c r="A93" s="47" t="s">
        <v>322</v>
      </c>
      <c r="B93" s="48" t="s">
        <v>319</v>
      </c>
      <c r="C93" s="48" t="s">
        <v>320</v>
      </c>
      <c r="D93" s="47" t="s">
        <v>38</v>
      </c>
      <c r="E93" s="47" t="s">
        <v>62</v>
      </c>
      <c r="F93" s="47"/>
      <c r="G93" s="47" t="s">
        <v>321</v>
      </c>
      <c r="H93" s="47" t="s">
        <v>152</v>
      </c>
      <c r="I93" s="47" t="s">
        <v>152</v>
      </c>
    </row>
    <row r="94" spans="1:9" ht="30">
      <c r="A94" s="46" t="s">
        <v>322</v>
      </c>
      <c r="B94" s="45" t="s">
        <v>340</v>
      </c>
      <c r="C94" s="45" t="s">
        <v>341</v>
      </c>
      <c r="D94" s="46" t="s">
        <v>38</v>
      </c>
      <c r="E94" s="46" t="s">
        <v>62</v>
      </c>
      <c r="F94" s="46"/>
      <c r="G94" s="46" t="s">
        <v>325</v>
      </c>
      <c r="H94" s="46" t="s">
        <v>152</v>
      </c>
      <c r="I94" s="50" t="s">
        <v>152</v>
      </c>
    </row>
    <row r="95" spans="1:9" ht="30">
      <c r="A95" s="47" t="s">
        <v>322</v>
      </c>
      <c r="B95" s="48" t="s">
        <v>342</v>
      </c>
      <c r="C95" s="48" t="s">
        <v>343</v>
      </c>
      <c r="D95" s="47" t="s">
        <v>40</v>
      </c>
      <c r="E95" s="47" t="s">
        <v>142</v>
      </c>
      <c r="F95" s="47"/>
      <c r="G95" s="47" t="s">
        <v>325</v>
      </c>
      <c r="H95" s="47" t="s">
        <v>70</v>
      </c>
      <c r="I95" s="47" t="s">
        <v>70</v>
      </c>
    </row>
    <row r="96" spans="1:9" ht="30">
      <c r="A96" s="46" t="s">
        <v>322</v>
      </c>
      <c r="B96" s="45" t="s">
        <v>344</v>
      </c>
      <c r="C96" s="45" t="s">
        <v>345</v>
      </c>
      <c r="D96" s="46" t="s">
        <v>39</v>
      </c>
      <c r="E96" s="46" t="s">
        <v>62</v>
      </c>
      <c r="F96" s="46"/>
      <c r="G96" s="46" t="s">
        <v>321</v>
      </c>
      <c r="H96" s="46" t="s">
        <v>152</v>
      </c>
      <c r="I96" s="50" t="s">
        <v>152</v>
      </c>
    </row>
    <row r="97" spans="1:9" ht="30">
      <c r="A97" s="47" t="s">
        <v>322</v>
      </c>
      <c r="B97" s="48" t="s">
        <v>132</v>
      </c>
      <c r="C97" s="48" t="s">
        <v>133</v>
      </c>
      <c r="D97" s="47" t="s">
        <v>38</v>
      </c>
      <c r="E97" s="47" t="s">
        <v>62</v>
      </c>
      <c r="F97" s="47"/>
      <c r="G97" s="47" t="s">
        <v>134</v>
      </c>
      <c r="H97" s="47" t="s">
        <v>135</v>
      </c>
      <c r="I97" s="47" t="s">
        <v>70</v>
      </c>
    </row>
    <row r="98" spans="1:9">
      <c r="A98" s="46" t="s">
        <v>322</v>
      </c>
      <c r="B98" s="45" t="s">
        <v>136</v>
      </c>
      <c r="C98" s="45" t="s">
        <v>137</v>
      </c>
      <c r="D98" s="46" t="s">
        <v>39</v>
      </c>
      <c r="E98" s="46" t="s">
        <v>62</v>
      </c>
      <c r="F98" s="46"/>
      <c r="G98" s="46" t="s">
        <v>138</v>
      </c>
      <c r="H98" s="46" t="s">
        <v>139</v>
      </c>
      <c r="I98" s="50" t="s">
        <v>135</v>
      </c>
    </row>
    <row r="99" spans="1:9" ht="30">
      <c r="A99" s="47" t="s">
        <v>322</v>
      </c>
      <c r="B99" s="48" t="s">
        <v>140</v>
      </c>
      <c r="C99" s="48" t="s">
        <v>141</v>
      </c>
      <c r="D99" s="47" t="s">
        <v>40</v>
      </c>
      <c r="E99" s="47" t="s">
        <v>142</v>
      </c>
      <c r="F99" s="47"/>
      <c r="G99" s="47" t="s">
        <v>143</v>
      </c>
      <c r="H99" s="47" t="s">
        <v>135</v>
      </c>
      <c r="I99" s="47" t="s">
        <v>70</v>
      </c>
    </row>
    <row r="100" spans="1:9">
      <c r="A100" s="46" t="s">
        <v>322</v>
      </c>
      <c r="B100" s="45" t="s">
        <v>144</v>
      </c>
      <c r="C100" s="45"/>
      <c r="D100" s="46" t="s">
        <v>38</v>
      </c>
      <c r="E100" s="46" t="s">
        <v>142</v>
      </c>
      <c r="F100" s="46"/>
      <c r="G100" s="46" t="s">
        <v>134</v>
      </c>
      <c r="H100" s="46" t="s">
        <v>70</v>
      </c>
      <c r="I100" s="50" t="s">
        <v>70</v>
      </c>
    </row>
    <row r="101" spans="1:9" ht="45">
      <c r="A101" s="47" t="s">
        <v>322</v>
      </c>
      <c r="B101" s="48" t="s">
        <v>145</v>
      </c>
      <c r="C101" s="48" t="s">
        <v>146</v>
      </c>
      <c r="D101" s="47" t="s">
        <v>39</v>
      </c>
      <c r="E101" s="47" t="s">
        <v>142</v>
      </c>
      <c r="F101" s="47"/>
      <c r="G101" s="47" t="s">
        <v>147</v>
      </c>
      <c r="H101" s="47" t="s">
        <v>135</v>
      </c>
      <c r="I101" s="47" t="s">
        <v>70</v>
      </c>
    </row>
  </sheetData>
  <mergeCells count="5">
    <mergeCell ref="A2:A3"/>
    <mergeCell ref="B2:B3"/>
    <mergeCell ref="C2:C3"/>
    <mergeCell ref="D2:F2"/>
    <mergeCell ref="G2:H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1" tint="0.34998626667073579"/>
  </sheetPr>
  <dimension ref="A1:G31"/>
  <sheetViews>
    <sheetView workbookViewId="0">
      <selection activeCell="C21" sqref="C21"/>
    </sheetView>
  </sheetViews>
  <sheetFormatPr defaultColWidth="13.7109375" defaultRowHeight="15.75" customHeight="1"/>
  <cols>
    <col min="1" max="1" width="16.140625" style="4" customWidth="1"/>
    <col min="2" max="2" width="13.7109375" style="4"/>
    <col min="3" max="3" width="17.7109375" style="4" customWidth="1"/>
    <col min="4" max="4" width="13.7109375" style="4"/>
    <col min="5" max="5" width="31.85546875" style="4" bestFit="1" customWidth="1"/>
    <col min="6" max="6" width="64.85546875" style="4" customWidth="1"/>
    <col min="7" max="16384" width="13.7109375" style="4"/>
  </cols>
  <sheetData>
    <row r="1" spans="1:7" ht="15.75" customHeight="1">
      <c r="E1" s="5" t="s">
        <v>346</v>
      </c>
      <c r="F1" s="5" t="s">
        <v>347</v>
      </c>
    </row>
    <row r="2" spans="1:7" ht="21" customHeight="1">
      <c r="E2" s="6">
        <v>1</v>
      </c>
      <c r="F2" s="7" t="s">
        <v>348</v>
      </c>
    </row>
    <row r="3" spans="1:7" ht="15.75" customHeight="1">
      <c r="A3" s="5" t="s">
        <v>56</v>
      </c>
      <c r="B3" s="8" t="s">
        <v>8</v>
      </c>
      <c r="C3" s="5" t="s">
        <v>24</v>
      </c>
      <c r="D3" s="5" t="s">
        <v>349</v>
      </c>
      <c r="E3" s="6">
        <v>2</v>
      </c>
      <c r="F3" s="7" t="s">
        <v>350</v>
      </c>
    </row>
    <row r="4" spans="1:7" ht="15.75" customHeight="1">
      <c r="A4" s="9">
        <v>0</v>
      </c>
      <c r="B4" s="9">
        <v>0</v>
      </c>
      <c r="C4" s="9" t="s">
        <v>351</v>
      </c>
      <c r="D4" s="9" t="s">
        <v>352</v>
      </c>
      <c r="E4" s="6">
        <v>3</v>
      </c>
      <c r="F4" s="7" t="s">
        <v>353</v>
      </c>
    </row>
    <row r="5" spans="1:7" ht="15.75" customHeight="1">
      <c r="A5" s="9">
        <v>0.25</v>
      </c>
      <c r="B5" s="9">
        <v>0.25</v>
      </c>
      <c r="C5" s="9" t="s">
        <v>354</v>
      </c>
      <c r="D5" s="9" t="s">
        <v>355</v>
      </c>
      <c r="E5" s="6">
        <v>4</v>
      </c>
      <c r="F5" s="7" t="s">
        <v>356</v>
      </c>
    </row>
    <row r="6" spans="1:7" ht="15.75" customHeight="1">
      <c r="A6" s="9">
        <v>0.5</v>
      </c>
      <c r="B6" s="9">
        <v>0.5</v>
      </c>
      <c r="C6" s="9" t="s">
        <v>357</v>
      </c>
      <c r="D6" s="9"/>
      <c r="E6" s="6">
        <v>5</v>
      </c>
      <c r="F6" s="7" t="s">
        <v>358</v>
      </c>
    </row>
    <row r="7" spans="1:7" ht="27" customHeight="1">
      <c r="A7" s="10">
        <v>0.75</v>
      </c>
      <c r="B7" s="10">
        <v>0.75</v>
      </c>
      <c r="C7" s="10" t="s">
        <v>359</v>
      </c>
      <c r="D7" s="10"/>
      <c r="E7" s="6">
        <v>6</v>
      </c>
      <c r="F7" s="7" t="s">
        <v>360</v>
      </c>
    </row>
    <row r="8" spans="1:7" ht="15.75" customHeight="1">
      <c r="A8" s="10">
        <v>1</v>
      </c>
      <c r="B8" s="10">
        <v>1</v>
      </c>
      <c r="C8" s="10"/>
      <c r="D8" s="10"/>
      <c r="E8" s="6">
        <v>7</v>
      </c>
      <c r="F8" s="7" t="s">
        <v>361</v>
      </c>
    </row>
    <row r="9" spans="1:7" ht="15.75" customHeight="1">
      <c r="A9" s="10"/>
      <c r="B9" s="10"/>
      <c r="C9" s="10"/>
      <c r="D9" s="10"/>
      <c r="E9" s="6">
        <v>8</v>
      </c>
      <c r="F9" s="7" t="s">
        <v>362</v>
      </c>
    </row>
    <row r="10" spans="1:7" ht="15.75" customHeight="1">
      <c r="E10" s="6">
        <v>9</v>
      </c>
      <c r="F10" s="7" t="s">
        <v>363</v>
      </c>
    </row>
    <row r="11" spans="1:7" ht="36" customHeight="1">
      <c r="E11" s="6">
        <v>10</v>
      </c>
      <c r="F11" s="7" t="s">
        <v>364</v>
      </c>
    </row>
    <row r="13" spans="1:7" ht="15.75" customHeight="1">
      <c r="A13" s="4" t="s">
        <v>365</v>
      </c>
    </row>
    <row r="14" spans="1:7" ht="15.75" customHeight="1">
      <c r="E14" s="11" t="s">
        <v>366</v>
      </c>
      <c r="F14" s="11" t="s">
        <v>367</v>
      </c>
      <c r="G14" s="11" t="s">
        <v>24</v>
      </c>
    </row>
    <row r="15" spans="1:7" ht="15.75" customHeight="1">
      <c r="A15" s="5" t="s">
        <v>368</v>
      </c>
      <c r="C15" s="22" t="s">
        <v>369</v>
      </c>
      <c r="E15" s="8" t="s">
        <v>370</v>
      </c>
      <c r="F15" s="9" t="s">
        <v>371</v>
      </c>
    </row>
    <row r="16" spans="1:7" ht="15.75" customHeight="1">
      <c r="A16" s="9" t="s">
        <v>372</v>
      </c>
      <c r="C16" s="9" t="s">
        <v>373</v>
      </c>
      <c r="E16" s="8" t="s">
        <v>370</v>
      </c>
      <c r="F16" s="9" t="s">
        <v>374</v>
      </c>
    </row>
    <row r="17" spans="1:6" ht="15.75" customHeight="1">
      <c r="A17" s="9" t="s">
        <v>375</v>
      </c>
      <c r="C17" s="9" t="s">
        <v>376</v>
      </c>
      <c r="E17" s="8" t="s">
        <v>370</v>
      </c>
      <c r="F17" s="9" t="s">
        <v>377</v>
      </c>
    </row>
    <row r="18" spans="1:6" ht="15.75" customHeight="1">
      <c r="A18" s="9" t="s">
        <v>378</v>
      </c>
      <c r="C18" s="9" t="s">
        <v>379</v>
      </c>
      <c r="E18" s="8" t="s">
        <v>370</v>
      </c>
      <c r="F18" s="9" t="s">
        <v>380</v>
      </c>
    </row>
    <row r="19" spans="1:6" ht="15.75" customHeight="1">
      <c r="A19" s="9" t="s">
        <v>381</v>
      </c>
      <c r="C19" s="9" t="s">
        <v>382</v>
      </c>
      <c r="E19" s="8" t="s">
        <v>370</v>
      </c>
      <c r="F19" s="9" t="s">
        <v>383</v>
      </c>
    </row>
    <row r="20" spans="1:6" ht="15.75" customHeight="1">
      <c r="A20" s="9" t="s">
        <v>0</v>
      </c>
      <c r="C20" s="9" t="s">
        <v>384</v>
      </c>
      <c r="E20" s="12" t="s">
        <v>385</v>
      </c>
      <c r="F20" s="10" t="s">
        <v>371</v>
      </c>
    </row>
    <row r="21" spans="1:6" ht="15.75" customHeight="1">
      <c r="C21" s="9" t="s">
        <v>386</v>
      </c>
      <c r="E21" s="12" t="s">
        <v>385</v>
      </c>
      <c r="F21" s="10" t="s">
        <v>374</v>
      </c>
    </row>
    <row r="22" spans="1:6" ht="15.75" customHeight="1">
      <c r="E22" s="12" t="s">
        <v>385</v>
      </c>
      <c r="F22" s="10" t="s">
        <v>377</v>
      </c>
    </row>
    <row r="23" spans="1:6" ht="15.75" customHeight="1">
      <c r="E23" s="12" t="s">
        <v>385</v>
      </c>
      <c r="F23" s="10" t="s">
        <v>380</v>
      </c>
    </row>
    <row r="24" spans="1:6" ht="15.75" customHeight="1">
      <c r="E24" s="12" t="s">
        <v>385</v>
      </c>
      <c r="F24" s="10" t="s">
        <v>383</v>
      </c>
    </row>
    <row r="25" spans="1:6" ht="15.75" customHeight="1">
      <c r="E25" s="12" t="s">
        <v>385</v>
      </c>
      <c r="F25" s="10" t="s">
        <v>387</v>
      </c>
    </row>
    <row r="26" spans="1:6" ht="15.75" customHeight="1">
      <c r="E26" s="5" t="s">
        <v>388</v>
      </c>
      <c r="F26" s="10" t="s">
        <v>371</v>
      </c>
    </row>
    <row r="27" spans="1:6" ht="15.75" customHeight="1">
      <c r="E27" s="5" t="s">
        <v>388</v>
      </c>
      <c r="F27" s="10" t="s">
        <v>374</v>
      </c>
    </row>
    <row r="28" spans="1:6" ht="15.75" customHeight="1">
      <c r="E28" s="5" t="s">
        <v>388</v>
      </c>
      <c r="F28" s="10" t="s">
        <v>377</v>
      </c>
    </row>
    <row r="29" spans="1:6" ht="15.75" customHeight="1">
      <c r="E29" s="5" t="s">
        <v>388</v>
      </c>
      <c r="F29" s="10" t="s">
        <v>380</v>
      </c>
    </row>
    <row r="30" spans="1:6" ht="15.75" customHeight="1">
      <c r="E30" s="5" t="s">
        <v>388</v>
      </c>
      <c r="F30" s="10" t="s">
        <v>383</v>
      </c>
    </row>
    <row r="31" spans="1:6" ht="15.75" customHeight="1">
      <c r="E31" s="5" t="s">
        <v>388</v>
      </c>
      <c r="F31" s="10" t="s">
        <v>387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tabColor theme="4" tint="-0.249977111117893"/>
    <pageSetUpPr fitToPage="1"/>
  </sheetPr>
  <dimension ref="A6:O29"/>
  <sheetViews>
    <sheetView zoomScale="90" zoomScaleNormal="90" workbookViewId="0">
      <selection activeCell="I6" sqref="I6"/>
    </sheetView>
  </sheetViews>
  <sheetFormatPr defaultColWidth="9.140625" defaultRowHeight="15"/>
  <cols>
    <col min="1" max="1" width="8.42578125" style="4" customWidth="1"/>
    <col min="2" max="2" width="12.140625" style="4" customWidth="1"/>
    <col min="3" max="3" width="37.5703125" style="4" customWidth="1"/>
    <col min="4" max="4" width="26.5703125" style="4" customWidth="1"/>
    <col min="5" max="5" width="48.42578125" style="4" customWidth="1"/>
    <col min="6" max="6" width="12.7109375" style="4" customWidth="1"/>
    <col min="7" max="7" width="10.42578125" style="14" bestFit="1" customWidth="1"/>
    <col min="8" max="8" width="7.140625" style="14" bestFit="1" customWidth="1"/>
    <col min="9" max="9" width="13.28515625" style="4" bestFit="1" customWidth="1"/>
    <col min="10" max="10" width="9.85546875" style="4" bestFit="1" customWidth="1"/>
    <col min="11" max="11" width="26.85546875" style="4" customWidth="1"/>
    <col min="12" max="12" width="10.28515625" style="4" bestFit="1" customWidth="1"/>
    <col min="13" max="13" width="37.85546875" style="15" customWidth="1"/>
    <col min="14" max="14" width="41.7109375" style="4" customWidth="1"/>
    <col min="15" max="17" width="12.140625" style="4" customWidth="1"/>
    <col min="18" max="16384" width="9.140625" style="4"/>
  </cols>
  <sheetData>
    <row r="6" spans="1:15">
      <c r="A6" s="13" t="s">
        <v>389</v>
      </c>
    </row>
    <row r="7" spans="1:15">
      <c r="A7" s="25" t="s">
        <v>390</v>
      </c>
      <c r="B7" s="25"/>
      <c r="C7" s="25"/>
      <c r="D7" s="25"/>
      <c r="E7" s="25"/>
      <c r="F7" s="25"/>
      <c r="G7" s="26"/>
      <c r="H7" s="26"/>
      <c r="I7" s="25"/>
      <c r="J7" s="25"/>
      <c r="K7" s="25"/>
      <c r="L7" s="25"/>
      <c r="M7" s="27"/>
      <c r="N7" s="25"/>
    </row>
    <row r="8" spans="1:15" s="16" customFormat="1" ht="12">
      <c r="A8" s="65" t="s">
        <v>391</v>
      </c>
      <c r="B8" s="66" t="s">
        <v>392</v>
      </c>
      <c r="C8" s="67" t="s">
        <v>393</v>
      </c>
      <c r="D8" s="67" t="s">
        <v>394</v>
      </c>
      <c r="E8" s="67" t="s">
        <v>4</v>
      </c>
      <c r="F8" s="67" t="s">
        <v>349</v>
      </c>
      <c r="G8" s="68" t="s">
        <v>56</v>
      </c>
      <c r="H8" s="68" t="s">
        <v>8</v>
      </c>
      <c r="I8" s="69" t="s">
        <v>9</v>
      </c>
      <c r="J8" s="67" t="s">
        <v>395</v>
      </c>
      <c r="K8" s="67" t="s">
        <v>396</v>
      </c>
      <c r="L8" s="67" t="s">
        <v>27</v>
      </c>
      <c r="M8" s="70" t="s">
        <v>397</v>
      </c>
      <c r="N8" s="67" t="s">
        <v>398</v>
      </c>
      <c r="O8" s="23"/>
    </row>
    <row r="9" spans="1:15" ht="45.75">
      <c r="A9" s="71" t="s">
        <v>399</v>
      </c>
      <c r="B9" s="72">
        <v>45502</v>
      </c>
      <c r="C9" s="73" t="s">
        <v>361</v>
      </c>
      <c r="D9" s="73" t="s">
        <v>381</v>
      </c>
      <c r="E9" s="74" t="s">
        <v>400</v>
      </c>
      <c r="F9" s="75" t="s">
        <v>355</v>
      </c>
      <c r="G9" s="76">
        <v>0.5</v>
      </c>
      <c r="H9" s="76">
        <v>0.75</v>
      </c>
      <c r="I9" s="77">
        <f>(G9*H9)</f>
        <v>0.375</v>
      </c>
      <c r="J9" s="73" t="s">
        <v>357</v>
      </c>
      <c r="K9" s="74" t="s">
        <v>401</v>
      </c>
      <c r="L9" s="73" t="s">
        <v>373</v>
      </c>
      <c r="M9" s="78" t="s">
        <v>402</v>
      </c>
      <c r="N9" s="74" t="s">
        <v>403</v>
      </c>
      <c r="O9" s="24"/>
    </row>
    <row r="10" spans="1:15" ht="76.5" customHeight="1">
      <c r="A10" s="71" t="s">
        <v>404</v>
      </c>
      <c r="B10" s="72"/>
      <c r="C10" s="73" t="s">
        <v>362</v>
      </c>
      <c r="D10" s="73" t="s">
        <v>375</v>
      </c>
      <c r="E10" s="74" t="s">
        <v>405</v>
      </c>
      <c r="F10" s="75" t="s">
        <v>355</v>
      </c>
      <c r="G10" s="76">
        <v>0.5</v>
      </c>
      <c r="H10" s="76">
        <v>0.75</v>
      </c>
      <c r="I10" s="77">
        <f>(G10*H10)</f>
        <v>0.375</v>
      </c>
      <c r="J10" s="73" t="s">
        <v>357</v>
      </c>
      <c r="K10" s="74" t="s">
        <v>406</v>
      </c>
      <c r="L10" s="73" t="s">
        <v>376</v>
      </c>
      <c r="M10" s="78" t="s">
        <v>407</v>
      </c>
      <c r="N10" s="74" t="s">
        <v>408</v>
      </c>
      <c r="O10" s="24"/>
    </row>
    <row r="11" spans="1:15" ht="60.75">
      <c r="A11" s="71" t="s">
        <v>409</v>
      </c>
      <c r="B11" s="72"/>
      <c r="C11" s="73" t="s">
        <v>358</v>
      </c>
      <c r="D11" s="73" t="s">
        <v>378</v>
      </c>
      <c r="E11" s="74" t="s">
        <v>410</v>
      </c>
      <c r="F11" s="75" t="s">
        <v>355</v>
      </c>
      <c r="G11" s="76">
        <v>0.5</v>
      </c>
      <c r="H11" s="76">
        <v>0.5</v>
      </c>
      <c r="I11" s="77">
        <f>(G11*H11)</f>
        <v>0.25</v>
      </c>
      <c r="J11" s="73" t="s">
        <v>357</v>
      </c>
      <c r="K11" s="74" t="s">
        <v>411</v>
      </c>
      <c r="L11" s="73" t="s">
        <v>376</v>
      </c>
      <c r="M11" s="78" t="s">
        <v>412</v>
      </c>
      <c r="N11" s="74" t="s">
        <v>413</v>
      </c>
      <c r="O11" s="24"/>
    </row>
    <row r="12" spans="1:15" ht="91.5">
      <c r="A12" s="71" t="s">
        <v>414</v>
      </c>
      <c r="B12" s="72"/>
      <c r="C12" s="73" t="s">
        <v>360</v>
      </c>
      <c r="D12" s="73" t="s">
        <v>375</v>
      </c>
      <c r="E12" s="74" t="s">
        <v>415</v>
      </c>
      <c r="F12" s="75" t="s">
        <v>355</v>
      </c>
      <c r="G12" s="76">
        <v>0.25</v>
      </c>
      <c r="H12" s="76">
        <v>0.75</v>
      </c>
      <c r="I12" s="77">
        <f>(G12*H12)</f>
        <v>0.1875</v>
      </c>
      <c r="J12" s="73" t="s">
        <v>351</v>
      </c>
      <c r="K12" s="74" t="s">
        <v>416</v>
      </c>
      <c r="L12" s="73" t="s">
        <v>376</v>
      </c>
      <c r="M12" s="78" t="s">
        <v>417</v>
      </c>
      <c r="N12" s="74" t="s">
        <v>418</v>
      </c>
      <c r="O12" s="24"/>
    </row>
    <row r="13" spans="1:15" ht="60.75">
      <c r="A13" s="71" t="s">
        <v>419</v>
      </c>
      <c r="B13" s="72"/>
      <c r="C13" s="73" t="s">
        <v>360</v>
      </c>
      <c r="D13" s="73" t="s">
        <v>372</v>
      </c>
      <c r="E13" s="74" t="s">
        <v>420</v>
      </c>
      <c r="F13" s="75" t="s">
        <v>355</v>
      </c>
      <c r="G13" s="76">
        <v>0.25</v>
      </c>
      <c r="H13" s="76">
        <v>0.5</v>
      </c>
      <c r="I13" s="77">
        <f>(G13*H13)</f>
        <v>0.125</v>
      </c>
      <c r="J13" s="73" t="s">
        <v>357</v>
      </c>
      <c r="K13" s="74" t="s">
        <v>421</v>
      </c>
      <c r="L13" s="73" t="s">
        <v>373</v>
      </c>
      <c r="M13" s="78" t="s">
        <v>422</v>
      </c>
      <c r="N13" s="74" t="s">
        <v>423</v>
      </c>
      <c r="O13" s="24"/>
    </row>
    <row r="14" spans="1:15" ht="76.5">
      <c r="A14" s="71" t="s">
        <v>424</v>
      </c>
      <c r="B14" s="72"/>
      <c r="C14" s="73" t="s">
        <v>362</v>
      </c>
      <c r="D14" s="73" t="s">
        <v>375</v>
      </c>
      <c r="E14" s="74" t="s">
        <v>425</v>
      </c>
      <c r="F14" s="75" t="s">
        <v>355</v>
      </c>
      <c r="G14" s="76">
        <v>0.25</v>
      </c>
      <c r="H14" s="76">
        <v>0.5</v>
      </c>
      <c r="I14" s="77">
        <f>(G14*H14)</f>
        <v>0.125</v>
      </c>
      <c r="J14" s="73" t="s">
        <v>357</v>
      </c>
      <c r="K14" s="74" t="s">
        <v>426</v>
      </c>
      <c r="L14" s="73" t="s">
        <v>382</v>
      </c>
      <c r="M14" s="78" t="s">
        <v>427</v>
      </c>
      <c r="N14" s="74" t="s">
        <v>428</v>
      </c>
      <c r="O14" s="24"/>
    </row>
    <row r="15" spans="1:15" ht="68.25" customHeight="1">
      <c r="A15" s="71" t="s">
        <v>429</v>
      </c>
      <c r="B15" s="72"/>
      <c r="C15" s="73" t="s">
        <v>361</v>
      </c>
      <c r="D15" s="73" t="s">
        <v>375</v>
      </c>
      <c r="E15" s="74" t="s">
        <v>430</v>
      </c>
      <c r="F15" s="75" t="s">
        <v>355</v>
      </c>
      <c r="G15" s="76">
        <v>0.25</v>
      </c>
      <c r="H15" s="76">
        <v>0.5</v>
      </c>
      <c r="I15" s="77">
        <f>(G15*H15)</f>
        <v>0.125</v>
      </c>
      <c r="J15" s="73" t="s">
        <v>357</v>
      </c>
      <c r="K15" s="74" t="s">
        <v>431</v>
      </c>
      <c r="L15" s="73" t="s">
        <v>376</v>
      </c>
      <c r="M15" s="78" t="s">
        <v>432</v>
      </c>
      <c r="N15" s="74" t="s">
        <v>433</v>
      </c>
      <c r="O15" s="24"/>
    </row>
    <row r="16" spans="1:15" ht="84" customHeight="1">
      <c r="A16" s="71" t="s">
        <v>434</v>
      </c>
      <c r="B16" s="72"/>
      <c r="C16" s="73" t="s">
        <v>360</v>
      </c>
      <c r="D16" s="73" t="s">
        <v>378</v>
      </c>
      <c r="E16" s="74" t="s">
        <v>435</v>
      </c>
      <c r="F16" s="75" t="s">
        <v>355</v>
      </c>
      <c r="G16" s="76">
        <v>0.25</v>
      </c>
      <c r="H16" s="76">
        <v>0.5</v>
      </c>
      <c r="I16" s="77">
        <f>(G16*H16)</f>
        <v>0.125</v>
      </c>
      <c r="J16" s="73" t="s">
        <v>357</v>
      </c>
      <c r="K16" s="74" t="s">
        <v>436</v>
      </c>
      <c r="L16" s="73" t="s">
        <v>376</v>
      </c>
      <c r="M16" s="78" t="s">
        <v>437</v>
      </c>
      <c r="N16" s="74" t="s">
        <v>438</v>
      </c>
      <c r="O16" s="24"/>
    </row>
    <row r="17" spans="1:15" ht="77.25" customHeight="1">
      <c r="A17" s="71" t="s">
        <v>439</v>
      </c>
      <c r="B17" s="72"/>
      <c r="C17" s="73" t="s">
        <v>353</v>
      </c>
      <c r="D17" s="73" t="s">
        <v>372</v>
      </c>
      <c r="E17" s="74" t="s">
        <v>440</v>
      </c>
      <c r="F17" s="75" t="s">
        <v>355</v>
      </c>
      <c r="G17" s="76">
        <v>0.75</v>
      </c>
      <c r="H17" s="76">
        <v>0.5</v>
      </c>
      <c r="I17" s="77">
        <f>(G17*H17)</f>
        <v>0.375</v>
      </c>
      <c r="J17" s="73" t="s">
        <v>359</v>
      </c>
      <c r="K17" s="74" t="s">
        <v>441</v>
      </c>
      <c r="L17" s="73" t="s">
        <v>373</v>
      </c>
      <c r="M17" s="78" t="s">
        <v>442</v>
      </c>
      <c r="N17" s="74" t="s">
        <v>443</v>
      </c>
      <c r="O17" s="24"/>
    </row>
    <row r="18" spans="1:15" ht="74.25" customHeight="1">
      <c r="A18" s="71" t="s">
        <v>444</v>
      </c>
      <c r="B18" s="72"/>
      <c r="C18" s="73" t="s">
        <v>360</v>
      </c>
      <c r="D18" s="73" t="s">
        <v>372</v>
      </c>
      <c r="E18" s="74" t="s">
        <v>445</v>
      </c>
      <c r="F18" s="75" t="s">
        <v>355</v>
      </c>
      <c r="G18" s="76">
        <v>0.75</v>
      </c>
      <c r="H18" s="76">
        <v>0.5</v>
      </c>
      <c r="I18" s="77">
        <f>(G18*H18)</f>
        <v>0.375</v>
      </c>
      <c r="J18" s="73" t="s">
        <v>357</v>
      </c>
      <c r="K18" s="74" t="s">
        <v>446</v>
      </c>
      <c r="L18" s="73" t="s">
        <v>373</v>
      </c>
      <c r="M18" s="78" t="s">
        <v>447</v>
      </c>
      <c r="N18" s="74" t="s">
        <v>448</v>
      </c>
      <c r="O18" s="24"/>
    </row>
    <row r="19" spans="1:15" ht="45.75">
      <c r="A19" s="71" t="s">
        <v>449</v>
      </c>
      <c r="B19" s="72"/>
      <c r="C19" s="73" t="s">
        <v>358</v>
      </c>
      <c r="D19" s="73" t="s">
        <v>378</v>
      </c>
      <c r="E19" s="74" t="s">
        <v>450</v>
      </c>
      <c r="F19" s="75" t="s">
        <v>355</v>
      </c>
      <c r="G19" s="76">
        <v>0.5</v>
      </c>
      <c r="H19" s="76">
        <v>0.5</v>
      </c>
      <c r="I19" s="77">
        <f>(G19*H19)</f>
        <v>0.25</v>
      </c>
      <c r="J19" s="73" t="s">
        <v>357</v>
      </c>
      <c r="K19" s="74" t="s">
        <v>451</v>
      </c>
      <c r="L19" s="73" t="s">
        <v>376</v>
      </c>
      <c r="M19" s="78" t="s">
        <v>452</v>
      </c>
      <c r="N19" s="74" t="s">
        <v>453</v>
      </c>
      <c r="O19" s="24"/>
    </row>
    <row r="20" spans="1:15" ht="60.75">
      <c r="A20" s="71" t="s">
        <v>454</v>
      </c>
      <c r="B20" s="72"/>
      <c r="C20" s="73" t="s">
        <v>362</v>
      </c>
      <c r="D20" s="73" t="s">
        <v>375</v>
      </c>
      <c r="E20" s="74" t="s">
        <v>455</v>
      </c>
      <c r="F20" s="75" t="s">
        <v>355</v>
      </c>
      <c r="G20" s="76">
        <v>0.5</v>
      </c>
      <c r="H20" s="76">
        <v>0.5</v>
      </c>
      <c r="I20" s="77">
        <f>(G20*H20)</f>
        <v>0.25</v>
      </c>
      <c r="J20" s="73" t="s">
        <v>357</v>
      </c>
      <c r="K20" s="74" t="s">
        <v>456</v>
      </c>
      <c r="L20" s="73" t="s">
        <v>386</v>
      </c>
      <c r="M20" s="78" t="s">
        <v>457</v>
      </c>
      <c r="N20" s="74" t="s">
        <v>458</v>
      </c>
      <c r="O20" s="24"/>
    </row>
    <row r="21" spans="1:15" ht="60.75">
      <c r="A21" s="71" t="s">
        <v>459</v>
      </c>
      <c r="B21" s="72"/>
      <c r="C21" s="73" t="s">
        <v>363</v>
      </c>
      <c r="D21" s="73" t="s">
        <v>375</v>
      </c>
      <c r="E21" s="74" t="s">
        <v>460</v>
      </c>
      <c r="F21" s="75" t="s">
        <v>355</v>
      </c>
      <c r="G21" s="76">
        <v>0.5</v>
      </c>
      <c r="H21" s="76">
        <v>0.5</v>
      </c>
      <c r="I21" s="77">
        <f>(G21*H21)</f>
        <v>0.25</v>
      </c>
      <c r="J21" s="73" t="s">
        <v>357</v>
      </c>
      <c r="K21" s="74" t="s">
        <v>461</v>
      </c>
      <c r="L21" s="73" t="s">
        <v>386</v>
      </c>
      <c r="M21" s="78" t="s">
        <v>462</v>
      </c>
      <c r="N21" s="74" t="s">
        <v>463</v>
      </c>
      <c r="O21" s="24"/>
    </row>
    <row r="22" spans="1:15" ht="60.75">
      <c r="A22" s="71" t="s">
        <v>464</v>
      </c>
      <c r="B22" s="72"/>
      <c r="C22" s="73" t="s">
        <v>356</v>
      </c>
      <c r="D22" s="73" t="s">
        <v>381</v>
      </c>
      <c r="E22" s="74" t="s">
        <v>465</v>
      </c>
      <c r="F22" s="75" t="s">
        <v>355</v>
      </c>
      <c r="G22" s="76">
        <v>0.5</v>
      </c>
      <c r="H22" s="76">
        <v>0.5</v>
      </c>
      <c r="I22" s="77">
        <f>(G22*H22)</f>
        <v>0.25</v>
      </c>
      <c r="J22" s="73" t="s">
        <v>357</v>
      </c>
      <c r="K22" s="74" t="s">
        <v>466</v>
      </c>
      <c r="L22" s="73" t="s">
        <v>379</v>
      </c>
      <c r="M22" s="78" t="s">
        <v>467</v>
      </c>
      <c r="N22" s="74" t="s">
        <v>468</v>
      </c>
      <c r="O22" s="24"/>
    </row>
    <row r="23" spans="1:15" ht="45.75">
      <c r="A23" s="71" t="s">
        <v>469</v>
      </c>
      <c r="B23" s="72"/>
      <c r="C23" s="73" t="s">
        <v>348</v>
      </c>
      <c r="D23" s="73" t="s">
        <v>378</v>
      </c>
      <c r="E23" s="74" t="s">
        <v>470</v>
      </c>
      <c r="F23" s="75" t="s">
        <v>355</v>
      </c>
      <c r="G23" s="76">
        <v>0.75</v>
      </c>
      <c r="H23" s="76">
        <v>0.5</v>
      </c>
      <c r="I23" s="77">
        <f>(G23*H23)</f>
        <v>0.375</v>
      </c>
      <c r="J23" s="73" t="s">
        <v>359</v>
      </c>
      <c r="K23" s="74" t="s">
        <v>471</v>
      </c>
      <c r="L23" s="73" t="s">
        <v>373</v>
      </c>
      <c r="M23" s="78" t="s">
        <v>472</v>
      </c>
      <c r="N23" s="74" t="s">
        <v>473</v>
      </c>
      <c r="O23" s="24"/>
    </row>
    <row r="24" spans="1:15">
      <c r="A24" s="28"/>
      <c r="B24" s="28"/>
      <c r="C24" s="28"/>
      <c r="D24" s="28"/>
      <c r="E24" s="28"/>
      <c r="F24" s="28"/>
      <c r="G24" s="79"/>
      <c r="H24" s="79"/>
      <c r="I24" s="28"/>
      <c r="J24" s="28"/>
      <c r="K24" s="28"/>
      <c r="L24" s="28"/>
      <c r="M24" s="80"/>
      <c r="N24" s="28"/>
    </row>
    <row r="25" spans="1:15">
      <c r="F25" s="89" t="s">
        <v>56</v>
      </c>
      <c r="G25" s="17">
        <v>3</v>
      </c>
      <c r="H25" s="21">
        <f t="shared" ref="H25:H26" si="0">$G25*H$28</f>
        <v>3</v>
      </c>
      <c r="I25" s="18">
        <f t="shared" ref="I25:I27" si="1">$G25*I$28</f>
        <v>6</v>
      </c>
    </row>
    <row r="26" spans="1:15">
      <c r="F26" s="89"/>
      <c r="G26" s="17">
        <v>2</v>
      </c>
      <c r="H26" s="21">
        <f t="shared" si="0"/>
        <v>2</v>
      </c>
      <c r="I26" s="18">
        <f t="shared" si="1"/>
        <v>4</v>
      </c>
    </row>
    <row r="27" spans="1:15">
      <c r="F27" s="89"/>
      <c r="G27" s="17">
        <v>1</v>
      </c>
      <c r="H27" s="21">
        <f>$G27*H$28</f>
        <v>1</v>
      </c>
      <c r="I27" s="18">
        <f t="shared" si="1"/>
        <v>2</v>
      </c>
    </row>
    <row r="28" spans="1:15">
      <c r="F28" s="19"/>
      <c r="G28" s="17"/>
      <c r="H28" s="17">
        <v>1</v>
      </c>
      <c r="I28" s="19">
        <v>2</v>
      </c>
    </row>
    <row r="29" spans="1:15">
      <c r="F29" s="19"/>
      <c r="G29" s="17"/>
      <c r="H29" s="89" t="s">
        <v>8</v>
      </c>
      <c r="I29" s="89"/>
    </row>
  </sheetData>
  <sortState xmlns:xlrd2="http://schemas.microsoft.com/office/spreadsheetml/2017/richdata2" ref="A9:K18">
    <sortCondition ref="A8"/>
  </sortState>
  <mergeCells count="2">
    <mergeCell ref="H29:I29"/>
    <mergeCell ref="F25:F27"/>
  </mergeCells>
  <phoneticPr fontId="1" type="noConversion"/>
  <pageMargins left="0.70866141732283472" right="0.70866141732283472" top="0.74803149606299213" bottom="0.74803149606299213" header="0.31496062992125984" footer="0.31496062992125984"/>
  <pageSetup paperSize="9" scale="52" orientation="landscape" horizontalDpi="0" verticalDpi="0"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Parámetros!$F$2:$F$11</xm:f>
          </x14:formula1>
          <xm:sqref>C9:C23</xm:sqref>
        </x14:dataValidation>
        <x14:dataValidation type="list" allowBlank="1" showInputMessage="1" showErrorMessage="1" xr:uid="{00000000-0002-0000-0300-000001000000}">
          <x14:formula1>
            <xm:f>Parámetros!$A$4:$A$8</xm:f>
          </x14:formula1>
          <xm:sqref>G9</xm:sqref>
        </x14:dataValidation>
        <x14:dataValidation type="list" allowBlank="1" showInputMessage="1" showErrorMessage="1" xr:uid="{00000000-0002-0000-0300-000002000000}">
          <x14:formula1>
            <xm:f>Parámetros!$D$4:$D$6</xm:f>
          </x14:formula1>
          <xm:sqref>F9:F23</xm:sqref>
        </x14:dataValidation>
        <x14:dataValidation type="list" allowBlank="1" showInputMessage="1" showErrorMessage="1" xr:uid="{00000000-0002-0000-0300-000003000000}">
          <x14:formula1>
            <xm:f>Parámetros!$C$4:$C$8</xm:f>
          </x14:formula1>
          <xm:sqref>J9:J23</xm:sqref>
        </x14:dataValidation>
        <x14:dataValidation type="list" allowBlank="1" showInputMessage="1" showErrorMessage="1" xr:uid="{00000000-0002-0000-0300-000004000000}">
          <x14:formula1>
            <xm:f>Parámetros!$B$3:$B$25</xm:f>
          </x14:formula1>
          <xm:sqref>G10:G23</xm:sqref>
        </x14:dataValidation>
        <x14:dataValidation type="list" allowBlank="1" showInputMessage="1" showErrorMessage="1" xr:uid="{00000000-0002-0000-0300-000006000000}">
          <x14:formula1>
            <xm:f>Parámetros!$B$4:$B$9</xm:f>
          </x14:formula1>
          <xm:sqref>H9:H23</xm:sqref>
        </x14:dataValidation>
        <x14:dataValidation type="list" allowBlank="1" showInputMessage="1" showErrorMessage="1" xr:uid="{00000000-0002-0000-0300-000007000000}">
          <x14:formula1>
            <xm:f>Parámetros!$A$16:$A$20</xm:f>
          </x14:formula1>
          <xm:sqref>D9:D23</xm:sqref>
        </x14:dataValidation>
        <x14:dataValidation type="list" allowBlank="1" showInputMessage="1" showErrorMessage="1" xr:uid="{00000000-0002-0000-0300-000008000000}">
          <x14:formula1>
            <xm:f>Parámetros!$C$16:$C$21</xm:f>
          </x14:formula1>
          <xm:sqref>L9:L23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tint="-0.249977111117893"/>
  </sheetPr>
  <dimension ref="A5:H11"/>
  <sheetViews>
    <sheetView zoomScale="90" zoomScaleNormal="90" workbookViewId="0">
      <selection activeCell="B6" sqref="B6"/>
    </sheetView>
  </sheetViews>
  <sheetFormatPr defaultColWidth="11.42578125" defaultRowHeight="15"/>
  <cols>
    <col min="1" max="1" width="54.140625" customWidth="1"/>
    <col min="2" max="2" width="12.7109375" bestFit="1" customWidth="1"/>
    <col min="3" max="3" width="3" customWidth="1"/>
    <col min="4" max="4" width="53.5703125" bestFit="1" customWidth="1"/>
    <col min="6" max="6" width="4.28515625" customWidth="1"/>
    <col min="7" max="7" width="53.5703125" bestFit="1" customWidth="1"/>
  </cols>
  <sheetData>
    <row r="5" spans="1:8">
      <c r="A5" s="20" t="s">
        <v>474</v>
      </c>
      <c r="B5" s="20" t="s">
        <v>475</v>
      </c>
      <c r="D5" s="20" t="s">
        <v>474</v>
      </c>
      <c r="E5" s="20" t="s">
        <v>8</v>
      </c>
      <c r="G5" s="20" t="s">
        <v>474</v>
      </c>
      <c r="H5" s="20" t="str">
        <f>+Exposición</f>
        <v>Exposición</v>
      </c>
    </row>
    <row r="6" spans="1:8">
      <c r="A6" s="3" t="s">
        <v>360</v>
      </c>
      <c r="B6" s="2">
        <f>+VLOOKUP(A6,'Análisis de RIESGOS'!$C:$J,5,0)</f>
        <v>0.25</v>
      </c>
      <c r="D6" s="3" t="str">
        <f>+A6</f>
        <v>Riesgos asociados a los Requisitos del Producto y/o Entregables del Proyecto</v>
      </c>
      <c r="E6" s="2">
        <f>+VLOOKUP(D6,'Análisis de RIESGOS'!$C:$J,6,0)</f>
        <v>0.75</v>
      </c>
      <c r="G6" s="3" t="str">
        <f>+A6</f>
        <v>Riesgos asociados a los Requisitos del Producto y/o Entregables del Proyecto</v>
      </c>
      <c r="H6" s="2">
        <f>+VLOOKUP(D6,'Análisis de RIESGOS'!$C:$J,7,0)</f>
        <v>0.1875</v>
      </c>
    </row>
    <row r="7" spans="1:8">
      <c r="A7" s="3" t="s">
        <v>362</v>
      </c>
      <c r="B7" s="2">
        <f>+VLOOKUP(A7,'Análisis de RIESGOS'!$C:$J,5,0)</f>
        <v>0.5</v>
      </c>
      <c r="D7" s="3" t="str">
        <f>+A7</f>
        <v>Riesgos asociados al trabajo específico a realizar</v>
      </c>
      <c r="E7" s="2">
        <f>+VLOOKUP(D7,'Análisis de RIESGOS'!$C:$J,6,0)</f>
        <v>0.75</v>
      </c>
      <c r="G7" s="3" t="str">
        <f>+A7</f>
        <v>Riesgos asociados al trabajo específico a realizar</v>
      </c>
      <c r="H7" s="2">
        <f>+VLOOKUP(D7,'Análisis de RIESGOS'!$C:$J,7,0)</f>
        <v>0.375</v>
      </c>
    </row>
    <row r="8" spans="1:8">
      <c r="A8" s="3" t="s">
        <v>353</v>
      </c>
      <c r="B8" s="2">
        <f>+VLOOKUP(A8,'Análisis de RIESGOS'!$C:$J,5,0)</f>
        <v>0.75</v>
      </c>
      <c r="D8" s="3" t="str">
        <f>+A8</f>
        <v>Riesgos Contractuales</v>
      </c>
      <c r="E8" s="2">
        <f>+VLOOKUP(D8,'Análisis de RIESGOS'!$C:$J,6,0)</f>
        <v>0.5</v>
      </c>
      <c r="G8" s="3" t="str">
        <f>+A8</f>
        <v>Riesgos Contractuales</v>
      </c>
      <c r="H8" s="2">
        <f>+VLOOKUP(D8,'Análisis de RIESGOS'!$C:$J,7,0)</f>
        <v>0.375</v>
      </c>
    </row>
    <row r="9" spans="1:8">
      <c r="A9" s="3" t="s">
        <v>360</v>
      </c>
      <c r="B9" s="2">
        <f>+VLOOKUP(A9,'Análisis de RIESGOS'!$C:$J,5,0)</f>
        <v>0.25</v>
      </c>
      <c r="D9" s="3" t="str">
        <f>+A9</f>
        <v>Riesgos asociados a los Requisitos del Producto y/o Entregables del Proyecto</v>
      </c>
      <c r="E9" s="2">
        <f>+VLOOKUP(D9,'Análisis de RIESGOS'!$C:$J,6,0)</f>
        <v>0.75</v>
      </c>
      <c r="G9" s="3" t="str">
        <f>+A9</f>
        <v>Riesgos asociados a los Requisitos del Producto y/o Entregables del Proyecto</v>
      </c>
      <c r="H9" s="2">
        <f>+VLOOKUP(D9,'Análisis de RIESGOS'!$C:$J,7,0)</f>
        <v>0.1875</v>
      </c>
    </row>
    <row r="10" spans="1:8">
      <c r="A10" s="3" t="s">
        <v>361</v>
      </c>
      <c r="B10" s="2">
        <f>+VLOOKUP(A10,'Análisis de RIESGOS'!$C:$J,5,0)</f>
        <v>0.5</v>
      </c>
      <c r="D10" s="3" t="str">
        <f>+A10</f>
        <v>Riesgos asociados al Proceso y Métodos de Gestión del Proyecto</v>
      </c>
      <c r="E10" s="2">
        <f>+VLOOKUP(D10,'Análisis de RIESGOS'!$C:$J,6,0)</f>
        <v>0.75</v>
      </c>
      <c r="G10" s="3" t="str">
        <f>+A10</f>
        <v>Riesgos asociados al Proceso y Métodos de Gestión del Proyecto</v>
      </c>
      <c r="H10" s="2">
        <f>+VLOOKUP(D10,'Análisis de RIESGOS'!$C:$J,7,0)</f>
        <v>0.375</v>
      </c>
    </row>
    <row r="11" spans="1:8">
      <c r="A11" s="1"/>
      <c r="B11" s="2"/>
      <c r="D11" s="1"/>
      <c r="E11" s="2"/>
      <c r="G11" s="1"/>
      <c r="H11" s="2"/>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'Análisis de RIESGOS'!$C$9:$C$18</xm:f>
          </x14:formula1>
          <xm:sqref>A6:A10 D6:D10 G6:G10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A279C-3769-41C2-9F9B-24271D79B6DF}">
  <dimension ref="A1:G11"/>
  <sheetViews>
    <sheetView workbookViewId="0">
      <selection activeCell="J17" sqref="J17"/>
    </sheetView>
  </sheetViews>
  <sheetFormatPr defaultRowHeight="15"/>
  <cols>
    <col min="1" max="1" width="56.7109375" bestFit="1" customWidth="1"/>
    <col min="2" max="2" width="11.5703125" bestFit="1" customWidth="1"/>
    <col min="3" max="3" width="13.42578125" bestFit="1" customWidth="1"/>
    <col min="5" max="5" width="14.42578125" bestFit="1" customWidth="1"/>
    <col min="6" max="6" width="10.42578125" bestFit="1" customWidth="1"/>
    <col min="7" max="7" width="12.5703125" bestFit="1" customWidth="1"/>
  </cols>
  <sheetData>
    <row r="1" spans="1:7">
      <c r="A1" s="64" t="s">
        <v>476</v>
      </c>
    </row>
    <row r="9" spans="1:7">
      <c r="A9" t="s">
        <v>393</v>
      </c>
      <c r="B9" t="s">
        <v>394</v>
      </c>
      <c r="C9" t="s">
        <v>4</v>
      </c>
      <c r="D9" t="s">
        <v>349</v>
      </c>
      <c r="E9" t="s">
        <v>56</v>
      </c>
      <c r="F9" t="s">
        <v>8</v>
      </c>
      <c r="G9" t="s">
        <v>9</v>
      </c>
    </row>
    <row r="10" spans="1:7">
      <c r="A10" t="s">
        <v>361</v>
      </c>
      <c r="E10">
        <v>0.75</v>
      </c>
      <c r="F10">
        <v>0.75</v>
      </c>
      <c r="G10">
        <v>0.25</v>
      </c>
    </row>
    <row r="11" spans="1:7">
      <c r="A11" t="s">
        <v>362</v>
      </c>
      <c r="E11">
        <v>0.75</v>
      </c>
      <c r="F11">
        <v>0.75</v>
      </c>
      <c r="G11">
        <v>0.25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73757-B86D-4EE0-9625-414A0A5B98EC}">
  <dimension ref="A1:G5"/>
  <sheetViews>
    <sheetView workbookViewId="0">
      <selection activeCell="L4" sqref="L4"/>
    </sheetView>
  </sheetViews>
  <sheetFormatPr defaultRowHeight="15"/>
  <cols>
    <col min="1" max="1" width="56.7109375" bestFit="1" customWidth="1"/>
    <col min="2" max="2" width="11.5703125" bestFit="1" customWidth="1"/>
    <col min="3" max="3" width="13.42578125" bestFit="1" customWidth="1"/>
    <col min="5" max="5" width="14.42578125" bestFit="1" customWidth="1"/>
    <col min="6" max="6" width="10.42578125" bestFit="1" customWidth="1"/>
    <col min="7" max="7" width="12.5703125" bestFit="1" customWidth="1"/>
  </cols>
  <sheetData>
    <row r="1" spans="1:7">
      <c r="A1" s="64" t="s">
        <v>476</v>
      </c>
    </row>
    <row r="3" spans="1:7">
      <c r="A3" t="s">
        <v>393</v>
      </c>
      <c r="B3" t="s">
        <v>394</v>
      </c>
      <c r="C3" t="s">
        <v>4</v>
      </c>
      <c r="D3" t="s">
        <v>349</v>
      </c>
      <c r="E3" t="s">
        <v>56</v>
      </c>
      <c r="F3" t="s">
        <v>8</v>
      </c>
      <c r="G3" t="s">
        <v>9</v>
      </c>
    </row>
    <row r="4" spans="1:7">
      <c r="A4" t="s">
        <v>361</v>
      </c>
      <c r="E4">
        <v>0.75</v>
      </c>
      <c r="F4">
        <v>0.75</v>
      </c>
      <c r="G4">
        <v>0.25</v>
      </c>
    </row>
    <row r="5" spans="1:7">
      <c r="A5" t="s">
        <v>362</v>
      </c>
      <c r="E5">
        <v>0.75</v>
      </c>
      <c r="F5">
        <v>0.75</v>
      </c>
      <c r="G5">
        <v>0.25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C0F61-20D0-4EBC-8017-F15CD5DE1C5C}">
  <dimension ref="A1:G5"/>
  <sheetViews>
    <sheetView workbookViewId="0"/>
  </sheetViews>
  <sheetFormatPr defaultRowHeight="15"/>
  <cols>
    <col min="1" max="1" width="56.7109375" bestFit="1" customWidth="1"/>
    <col min="2" max="2" width="11.5703125" bestFit="1" customWidth="1"/>
    <col min="3" max="3" width="13.42578125" bestFit="1" customWidth="1"/>
    <col min="5" max="5" width="14.42578125" bestFit="1" customWidth="1"/>
    <col min="6" max="6" width="10.42578125" bestFit="1" customWidth="1"/>
    <col min="7" max="7" width="12.5703125" bestFit="1" customWidth="1"/>
  </cols>
  <sheetData>
    <row r="1" spans="1:7">
      <c r="A1" s="64" t="s">
        <v>476</v>
      </c>
    </row>
    <row r="3" spans="1:7">
      <c r="A3" t="s">
        <v>393</v>
      </c>
      <c r="B3" t="s">
        <v>394</v>
      </c>
      <c r="C3" t="s">
        <v>4</v>
      </c>
      <c r="D3" t="s">
        <v>349</v>
      </c>
      <c r="E3" t="s">
        <v>56</v>
      </c>
      <c r="F3" t="s">
        <v>8</v>
      </c>
      <c r="G3" t="s">
        <v>9</v>
      </c>
    </row>
    <row r="4" spans="1:7">
      <c r="A4" t="s">
        <v>361</v>
      </c>
      <c r="E4">
        <v>0.75</v>
      </c>
      <c r="F4">
        <v>0.75</v>
      </c>
      <c r="G4">
        <v>0.25</v>
      </c>
    </row>
    <row r="5" spans="1:7">
      <c r="A5" t="s">
        <v>362</v>
      </c>
      <c r="E5">
        <v>0.75</v>
      </c>
      <c r="F5">
        <v>0.75</v>
      </c>
      <c r="G5">
        <v>0.25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8B1C5-2DC3-4342-BE5A-97751BE4095E}">
  <dimension ref="A1:G4"/>
  <sheetViews>
    <sheetView workbookViewId="0"/>
  </sheetViews>
  <sheetFormatPr defaultRowHeight="15"/>
  <cols>
    <col min="1" max="1" width="67.5703125" bestFit="1" customWidth="1"/>
    <col min="2" max="2" width="11.5703125" bestFit="1" customWidth="1"/>
    <col min="3" max="3" width="13.42578125" bestFit="1" customWidth="1"/>
    <col min="5" max="5" width="14.42578125" bestFit="1" customWidth="1"/>
    <col min="6" max="6" width="10.42578125" bestFit="1" customWidth="1"/>
    <col min="7" max="7" width="12.5703125" bestFit="1" customWidth="1"/>
  </cols>
  <sheetData>
    <row r="1" spans="1:7">
      <c r="A1" s="64" t="s">
        <v>477</v>
      </c>
    </row>
    <row r="3" spans="1:7">
      <c r="A3" t="s">
        <v>393</v>
      </c>
      <c r="B3" t="s">
        <v>394</v>
      </c>
      <c r="C3" t="s">
        <v>4</v>
      </c>
      <c r="D3" t="s">
        <v>349</v>
      </c>
      <c r="E3" t="s">
        <v>56</v>
      </c>
      <c r="F3" t="s">
        <v>8</v>
      </c>
      <c r="G3" t="s">
        <v>9</v>
      </c>
    </row>
    <row r="4" spans="1:7">
      <c r="A4" t="s">
        <v>360</v>
      </c>
      <c r="E4">
        <v>0.75</v>
      </c>
      <c r="F4">
        <v>1</v>
      </c>
      <c r="G4">
        <v>0.25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08131-2678-4940-9D8B-5BBCC89C13D3}">
  <dimension ref="A1:G4"/>
  <sheetViews>
    <sheetView workbookViewId="0"/>
  </sheetViews>
  <sheetFormatPr defaultRowHeight="15"/>
  <cols>
    <col min="1" max="1" width="20" bestFit="1" customWidth="1"/>
    <col min="2" max="2" width="11.5703125" bestFit="1" customWidth="1"/>
    <col min="3" max="3" width="13.42578125" bestFit="1" customWidth="1"/>
    <col min="5" max="5" width="14.42578125" bestFit="1" customWidth="1"/>
    <col min="6" max="6" width="10.42578125" bestFit="1" customWidth="1"/>
    <col min="7" max="7" width="12.5703125" bestFit="1" customWidth="1"/>
  </cols>
  <sheetData>
    <row r="1" spans="1:7">
      <c r="A1" s="64" t="s">
        <v>478</v>
      </c>
    </row>
    <row r="3" spans="1:7">
      <c r="A3" t="s">
        <v>393</v>
      </c>
      <c r="B3" t="s">
        <v>394</v>
      </c>
      <c r="C3" t="s">
        <v>4</v>
      </c>
      <c r="D3" t="s">
        <v>349</v>
      </c>
      <c r="E3" t="s">
        <v>56</v>
      </c>
      <c r="F3" t="s">
        <v>8</v>
      </c>
      <c r="G3" t="s">
        <v>9</v>
      </c>
    </row>
    <row r="4" spans="1:7">
      <c r="A4" t="s">
        <v>353</v>
      </c>
      <c r="E4">
        <v>1</v>
      </c>
      <c r="F4">
        <v>0.25</v>
      </c>
      <c r="G4">
        <v>0.25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C6AEE-B85E-4834-AB73-774832AF2EFD}">
  <dimension ref="A1:G4"/>
  <sheetViews>
    <sheetView workbookViewId="0"/>
  </sheetViews>
  <sheetFormatPr defaultRowHeight="15"/>
  <cols>
    <col min="1" max="1" width="67.5703125" bestFit="1" customWidth="1"/>
    <col min="2" max="2" width="11.5703125" bestFit="1" customWidth="1"/>
    <col min="3" max="3" width="13.42578125" bestFit="1" customWidth="1"/>
    <col min="5" max="5" width="14.42578125" bestFit="1" customWidth="1"/>
    <col min="6" max="6" width="10.42578125" bestFit="1" customWidth="1"/>
    <col min="7" max="7" width="12.5703125" bestFit="1" customWidth="1"/>
  </cols>
  <sheetData>
    <row r="1" spans="1:7">
      <c r="A1" s="64" t="s">
        <v>479</v>
      </c>
    </row>
    <row r="3" spans="1:7">
      <c r="A3" t="s">
        <v>393</v>
      </c>
      <c r="B3" t="s">
        <v>394</v>
      </c>
      <c r="C3" t="s">
        <v>4</v>
      </c>
      <c r="D3" t="s">
        <v>349</v>
      </c>
      <c r="E3" t="s">
        <v>56</v>
      </c>
      <c r="F3" t="s">
        <v>8</v>
      </c>
      <c r="G3" t="s">
        <v>9</v>
      </c>
    </row>
    <row r="4" spans="1:7">
      <c r="A4" t="s">
        <v>360</v>
      </c>
      <c r="E4">
        <v>0.5</v>
      </c>
      <c r="F4">
        <v>0.25</v>
      </c>
      <c r="G4">
        <v>0.25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AF603-0DDC-47BA-9A0E-3FB513AF2E6E}">
  <dimension ref="A1:G5"/>
  <sheetViews>
    <sheetView workbookViewId="0"/>
  </sheetViews>
  <sheetFormatPr defaultRowHeight="15"/>
  <cols>
    <col min="1" max="1" width="67.5703125" bestFit="1" customWidth="1"/>
    <col min="2" max="2" width="11.5703125" bestFit="1" customWidth="1"/>
    <col min="3" max="3" width="127.140625" bestFit="1" customWidth="1"/>
    <col min="5" max="5" width="14.42578125" bestFit="1" customWidth="1"/>
    <col min="6" max="6" width="10.42578125" bestFit="1" customWidth="1"/>
    <col min="7" max="7" width="12.5703125" bestFit="1" customWidth="1"/>
  </cols>
  <sheetData>
    <row r="1" spans="1:7">
      <c r="A1" s="64" t="s">
        <v>480</v>
      </c>
    </row>
    <row r="3" spans="1:7">
      <c r="A3" t="s">
        <v>393</v>
      </c>
      <c r="B3" t="s">
        <v>394</v>
      </c>
      <c r="C3" t="s">
        <v>4</v>
      </c>
      <c r="D3" t="s">
        <v>349</v>
      </c>
      <c r="E3" t="s">
        <v>56</v>
      </c>
      <c r="F3" t="s">
        <v>8</v>
      </c>
      <c r="G3" t="s">
        <v>9</v>
      </c>
    </row>
    <row r="4" spans="1:7">
      <c r="A4" t="s">
        <v>360</v>
      </c>
      <c r="C4" t="s">
        <v>481</v>
      </c>
      <c r="D4" t="s">
        <v>352</v>
      </c>
      <c r="E4">
        <v>0.25</v>
      </c>
      <c r="F4">
        <v>0.5</v>
      </c>
      <c r="G4">
        <v>0.25</v>
      </c>
    </row>
    <row r="5" spans="1:7">
      <c r="A5" t="s">
        <v>362</v>
      </c>
      <c r="E5">
        <v>0.25</v>
      </c>
      <c r="F5">
        <v>0.5</v>
      </c>
      <c r="G5">
        <v>0.25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F8"/>
  <sheetViews>
    <sheetView tabSelected="1" zoomScaleNormal="100" workbookViewId="0">
      <selection activeCell="F11" sqref="F11"/>
    </sheetView>
  </sheetViews>
  <sheetFormatPr defaultColWidth="11.42578125" defaultRowHeight="31.5"/>
  <cols>
    <col min="2" max="2" width="32.140625" style="55" bestFit="1" customWidth="1"/>
    <col min="3" max="3" width="23.5703125" style="55" bestFit="1" customWidth="1"/>
    <col min="4" max="5" width="11.5703125" style="55" bestFit="1" customWidth="1"/>
    <col min="6" max="6" width="11.7109375" style="55" bestFit="1" customWidth="1"/>
    <col min="7" max="7" width="12.5703125" customWidth="1"/>
    <col min="8" max="8" width="12.5703125" bestFit="1" customWidth="1"/>
  </cols>
  <sheetData>
    <row r="1" spans="2:6">
      <c r="B1" s="55" t="s">
        <v>482</v>
      </c>
    </row>
    <row r="3" spans="2:6">
      <c r="B3" s="55" t="s">
        <v>483</v>
      </c>
      <c r="C3" s="55" t="s">
        <v>8</v>
      </c>
    </row>
    <row r="4" spans="2:6">
      <c r="B4" s="55" t="s">
        <v>56</v>
      </c>
      <c r="C4" s="56">
        <v>0.25</v>
      </c>
      <c r="D4" s="56">
        <v>0.5</v>
      </c>
      <c r="E4" s="56">
        <v>0.75</v>
      </c>
      <c r="F4" s="56">
        <v>1</v>
      </c>
    </row>
    <row r="5" spans="2:6">
      <c r="B5" s="57">
        <v>1</v>
      </c>
      <c r="C5" s="58">
        <v>0.25</v>
      </c>
      <c r="D5" s="60">
        <v>0.5</v>
      </c>
      <c r="E5" s="59">
        <v>0.75</v>
      </c>
      <c r="F5" s="59">
        <v>1</v>
      </c>
    </row>
    <row r="6" spans="2:6">
      <c r="B6" s="57">
        <v>0.75</v>
      </c>
      <c r="C6" s="61">
        <v>0.19</v>
      </c>
      <c r="D6" s="60">
        <v>0.38</v>
      </c>
      <c r="E6" s="59">
        <v>0.56000000000000005</v>
      </c>
      <c r="F6" s="59">
        <v>0.75</v>
      </c>
    </row>
    <row r="7" spans="2:6">
      <c r="B7" s="57">
        <v>0.5</v>
      </c>
      <c r="C7" s="61">
        <v>0.13</v>
      </c>
      <c r="D7" s="58">
        <v>0.25</v>
      </c>
      <c r="E7" s="60">
        <v>0.38</v>
      </c>
      <c r="F7" s="60">
        <v>0.5</v>
      </c>
    </row>
    <row r="8" spans="2:6">
      <c r="B8" s="57">
        <v>0.25</v>
      </c>
      <c r="C8" s="62">
        <v>0.06</v>
      </c>
      <c r="D8" s="61">
        <v>0.13</v>
      </c>
      <c r="E8" s="61">
        <v>0.19</v>
      </c>
      <c r="F8" s="58">
        <v>0.25</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508C7AAA85BDEA44A2C2E8B2B1E4EDE7" ma:contentTypeVersion="7" ma:contentTypeDescription="Crear nuevo documento." ma:contentTypeScope="" ma:versionID="faded0a90c4b385d72d135f70283fc23">
  <xsd:schema xmlns:xsd="http://www.w3.org/2001/XMLSchema" xmlns:xs="http://www.w3.org/2001/XMLSchema" xmlns:p="http://schemas.microsoft.com/office/2006/metadata/properties" xmlns:ns2="b5341521-d5d0-4a19-b457-eede4ccbfa54" targetNamespace="http://schemas.microsoft.com/office/2006/metadata/properties" ma:root="true" ma:fieldsID="77a8e7b8a0b8e8a8cb35ebe6cb051a2c" ns2:_="">
    <xsd:import namespace="b5341521-d5d0-4a19-b457-eede4ccbfa5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341521-d5d0-4a19-b457-eede4ccbfa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12CAD5B-80BE-4C5C-8DD7-E9C690D7A1A6}"/>
</file>

<file path=customXml/itemProps2.xml><?xml version="1.0" encoding="utf-8"?>
<ds:datastoreItem xmlns:ds="http://schemas.openxmlformats.org/officeDocument/2006/customXml" ds:itemID="{83261FB5-D4D0-4258-9E30-93593398EB88}"/>
</file>

<file path=customXml/itemProps3.xml><?xml version="1.0" encoding="utf-8"?>
<ds:datastoreItem xmlns:ds="http://schemas.openxmlformats.org/officeDocument/2006/customXml" ds:itemID="{05D8FD3C-91CE-4E0E-981F-398CA13FA81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Jorge Marchini</dc:creator>
  <cp:keywords/>
  <dc:description/>
  <cp:lastModifiedBy>IMPEDOVO GIANFRANCO</cp:lastModifiedBy>
  <cp:revision/>
  <dcterms:created xsi:type="dcterms:W3CDTF">2015-06-05T18:19:34Z</dcterms:created>
  <dcterms:modified xsi:type="dcterms:W3CDTF">2026-05-12T13:34:04Z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0x010100508C7AAA85BDEA44A2C2E8B2B1E4EDE7</vt:lpwstr>
  </property>
</Properties>
</file>