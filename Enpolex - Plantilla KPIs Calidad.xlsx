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c7e4ad2acf694a99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f605172fbe2741bc"/>
    <x:sheet xmlns:r="http://schemas.openxmlformats.org/officeDocument/2006/relationships" name="KPI´s" sheetId="2" r:id="R8640bbacc5ff41a8"/>
    <x:sheet xmlns:r="http://schemas.openxmlformats.org/officeDocument/2006/relationships" name="SLA o ANS" sheetId="3" r:id="R9e8d4efde88c4a1a"/>
    <x:sheet xmlns:r="http://schemas.openxmlformats.org/officeDocument/2006/relationships" name="Report KPIs" sheetId="4" r:id="Re2a4157c78e44a17"/>
    <x:sheet xmlns:r="http://schemas.openxmlformats.org/officeDocument/2006/relationships" name="KPIs Proyecto" sheetId="5" r:id="Rc01a75f57b3e4a7a"/>
  </x:sheets>
</x:workbook>
</file>

<file path=xl/sharedStrings.xml><?xml version="1.0" encoding="utf-8"?>
<x:sst xmlns:x="http://schemas.openxmlformats.org/spreadsheetml/2006/main">
  <x:si>
    <x:t xml:space="preserve">Fecha:</x:t>
  </x:si>
  <x:si>
    <x:t xml:space="preserve">Proyecto:</x:t>
  </x:si>
  <x:si>
    <x:t xml:space="preserve">INSTRUCCIONES</x:t>
  </x:si>
  <x:si>
    <x:t xml:space="preserve">. En funcion de la tipologia (Proyecto o Servicio y del tipo de cada uno) se pueden analizar los indicadores que apliquen a cada caso
</x:t>
  </x:si>
  <x:si>
    <x:t xml:space="preserve">Los datos se obtienen mensualmente de las aplicaciones dependiendo el tipo de Proyecto o Servicio con los totales consolidados de cada mes, en la columna del mes que corresponda al dato acumulado con los registros de cada mes </x:t>
  </x:si>
  <x:si>
    <x:t xml:space="preserve">Si hay umbrales establecidos inciales  permiten el análisis de las desviaciones y proponer mejoras.</x:t>
  </x:si>
  <x:si>
    <x:t xml:space="preserve">Se pueden proponer mejoras sobre la evolución de umbrales analizados previamente en base a una medición incial que se ajuste en función de los resultados de la organización ante las mejoras implementadas o propuestas.</x:t>
  </x:si>
  <x:si>
    <x:t xml:space="preserve">IMPoRTANTE</x:t>
  </x:si>
  <x:si>
    <x:t xml:space="preserve">Cada grupo deberá detallar las acciones realacionas con las métricas y KPI´s de su proyecto</x:t>
  </x:si>
  <x:si>
    <x:t xml:space="preserve">Los indicadores del Proyecto están considerads en el Tablero de control</x:t>
  </x:si>
  <x:si>
    <x:t xml:space="preserve">Gráficas en Hs relacionadas c C. de Calidad</x:t>
  </x:si>
  <x:si>
    <x:t xml:space="preserve">INTERNAL DEFECT</x:t>
  </x:si>
  <x:si>
    <x:t xml:space="preserve">ID&lt;2-3</x:t>
  </x:si>
  <x:si>
    <x:t xml:space="preserve">RETRABAJOS</x:t>
  </x:si>
  <x:si>
    <x:t xml:space="preserve">R&lt;1-2</x:t>
  </x:si>
  <x:si>
    <x:t xml:space="preserve">Hs trabajadas</x:t>
  </x:si>
  <x:si>
    <x:t xml:space="preserve">CHANGE RECUEST</x:t>
  </x:si>
  <x:si>
    <x:t xml:space="preserve">CA&lt;1-2</x:t>
  </x:si>
  <x:si>
    <x:t xml:space="preserve">COSTES NO CALIDAD</x:t>
  </x:si>
  <x:si>
    <x:t xml:space="preserve">CNCA&lt;5-6</x:t>
  </x:si>
  <x:si>
    <x:t xml:space="preserve">COSTES CALIDAD</x:t>
  </x:si>
  <x:si>
    <x:t xml:space="preserve">12&lt;CCA&lt;14</x:t>
  </x:si>
  <x:si>
    <x:t xml:space="preserve">COSTES CCA+CNCA</x:t>
  </x:si>
  <x:si>
    <x:t xml:space="preserve">(CCA+CNCA)&lt;17-20</x:t>
  </x:si>
  <x:si>
    <x:t xml:space="preserve">Análisis de Costes de No Calidad</x:t>
  </x:si>
</x:sst>
</file>

<file path=xl/styles.xml><?xml version="1.0" encoding="utf-8"?>
<x:styleSheet xmlns:x="http://schemas.openxmlformats.org/spreadsheetml/2006/main">
  <x:numFmts count="3">
    <x:numFmt numFmtId="164" formatCode="_-&quot;$&quot;\ * #,##0.00_-;\-&quot;$&quot;\ * #,##0.00_-;_-&quot;$&quot;\ * &quot;-&quot;??_-;_-@_-"/>
    <x:numFmt numFmtId="200" formatCode="$ #,##0"/>
    <x:numFmt numFmtId="201" formatCode="0"/>
  </x:numFmts>
  <x:fonts count="13">
    <x:font>
      <x:sz val="11"/>
      <x:color theme="1"/>
      <x:name val="Calibri"/>
    </x:font>
    <x:font>
      <x:b/>
      <x:sz val="11"/>
      <x:color theme="1"/>
      <x:name val="Calibri"/>
    </x:font>
    <x:font>
      <x:b/>
      <x:sz val="16"/>
      <x:color rgb="002060"/>
      <x:name val="Calibri"/>
    </x:font>
    <x:font>
      <x:b/>
      <x:sz val="10"/>
      <x:color rgb="000000"/>
      <x:name val="Calibri"/>
    </x:font>
    <x:font>
      <x:sz val="10"/>
      <x:color rgb="000000"/>
      <x:name val="Calibri"/>
    </x:font>
    <x:font>
      <x:sz val="11"/>
      <x:color theme="1"/>
      <x:name val="Calibri"/>
    </x:font>
    <x:font>
      <x:b/>
      <x:sz val="11"/>
      <x:color theme="0"/>
      <x:name val="Calibri"/>
    </x:font>
    <x:font>
      <x:b/>
      <x:sz val="11"/>
      <x:color rgb="0070C0"/>
      <x:name val="Calibri"/>
    </x:font>
    <x:font>
      <x:sz val="11"/>
      <x:color theme="8" tint="-0.24998"/>
      <x:name val="Calibri"/>
    </x:font>
    <x:font>
      <x:sz val="11"/>
      <x:name val="Calibri"/>
    </x:font>
    <x:font>
      <x:b/>
      <x:sz val="11"/>
      <x:color rgb="FFFFFF"/>
      <x:name val="Calibri"/>
    </x:font>
    <x:font>
      <x:b/>
      <x:sz val="11"/>
      <x:color rgb="000000"/>
      <x:name val="Calibri"/>
    </x:font>
    <x:font>
      <x:b/>
      <x:sz val="10"/>
      <x:color rgb="FFFFFF"/>
      <x:name val="Calibri"/>
    </x:font>
  </x:fonts>
  <x:fills count="15">
    <x:fill>
      <x:patternFill patternType="none"/>
    </x:fill>
    <x:fill>
      <x:patternFill patternType="gray125"/>
    </x:fill>
    <x:fill>
      <x:patternFill patternType="solid">
        <x:fgColor theme="2" tint="-0.09998"/>
      </x:patternFill>
    </x:fill>
    <x:fill>
      <x:patternFill patternType="solid">
        <x:fgColor theme="2"/>
      </x:patternFill>
    </x:fill>
    <x:fill>
      <x:patternFill patternType="solid">
        <x:fgColor theme="0"/>
      </x:patternFill>
    </x:fill>
    <x:fill>
      <x:patternFill patternType="solid">
        <x:fgColor rgb="FFFFFF"/>
      </x:patternFill>
    </x:fill>
    <x:fill>
      <x:patternFill patternType="solid">
        <x:fgColor theme="2" tint="-0.24998"/>
      </x:patternFill>
    </x:fill>
    <x:fill>
      <x:patternFill patternType="solid">
        <x:fgColor theme="4" tint="-0.24998"/>
      </x:patternFill>
    </x:fill>
    <x:fill>
      <x:patternFill patternType="solid">
        <x:fgColor theme="8" tint="0.79998"/>
      </x:patternFill>
    </x:fill>
    <x:fill>
      <x:patternFill patternType="solid">
        <x:fgColor theme="8" tint="-0.24998"/>
      </x:patternFill>
    </x:fill>
    <x:fill>
      <x:patternFill patternType="solid">
        <x:fgColor theme="4" tint="0.79998"/>
      </x:patternFill>
    </x:fill>
    <x:fill>
      <x:patternFill patternType="solid">
        <x:fgColor rgb="6B7280"/>
      </x:patternFill>
    </x:fill>
    <x:fill>
      <x:patternFill patternType="solid">
        <x:fgColor rgb="A6A6A6"/>
      </x:patternFill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30">
    <x:border/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theme="0"/>
      </x:bottom>
    </x:border>
    <x:border>
      <x:left style="thin">
        <x:color theme="4" tint="0.39998"/>
      </x:left>
      <x:right style="thin">
        <x:color theme="4" tint="0.39998"/>
      </x:right>
      <x:top style="thin">
        <x:color theme="4" tint="0.39998"/>
      </x:top>
      <x:bottom style="thin">
        <x:color theme="4" tint="0.39998"/>
      </x:bottom>
    </x:border>
    <x:border>
      <x:right style="thin">
        <x:color theme="0"/>
      </x:right>
      <x:top style="thin">
        <x:color theme="0"/>
      </x:top>
      <x:bottom style="thin">
        <x:color theme="0"/>
      </x:bottom>
    </x:border>
    <x:border>
      <x:left style="thin">
        <x:color theme="0"/>
      </x:left>
      <x:right style="thin">
        <x:color theme="0"/>
      </x:right>
      <x:bottom style="thin">
        <x:color theme="0"/>
      </x:bottom>
    </x:border>
    <x:border>
      <x:left style="thin">
        <x:color theme="0"/>
      </x:left>
      <x:top style="thin">
        <x:color theme="0"/>
      </x:top>
      <x:bottom style="thin">
        <x:color theme="0"/>
      </x:bottom>
    </x:border>
    <x:border/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theme="0"/>
      </x:bottom>
    </x:border>
    <x:border>
      <x:right style="thin">
        <x:color theme="0"/>
      </x:right>
      <x:top style="thin">
        <x:color theme="0"/>
      </x:top>
      <x:bottom style="thin">
        <x:color theme="0"/>
      </x:bottom>
    </x:border>
    <x:border>
      <x:left style="thin">
        <x:color theme="4" tint="0.39998"/>
      </x:left>
      <x:right style="thin">
        <x:color theme="4" tint="0.39998"/>
      </x:right>
      <x:top style="thin">
        <x:color theme="4" tint="0.39998"/>
      </x:top>
      <x:bottom style="thin">
        <x:color theme="4" tint="0.39998"/>
      </x:bottom>
    </x:border>
    <x:border>
      <x:left style="thin">
        <x:color theme="0"/>
      </x:left>
      <x:right style="thin">
        <x:color theme="0"/>
      </x:right>
      <x:bottom style="thin">
        <x:color theme="0"/>
      </x:bottom>
    </x:border>
    <x:border>
      <x:left style="thin">
        <x:color theme="0"/>
      </x:left>
      <x:top style="thin">
        <x:color theme="0"/>
      </x:top>
      <x:bottom style="thin">
        <x:color theme="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</x:borders>
  <x:cellStyleXfs count="2">
    <x:xf numFmtId="0" fontId="0" fillId="0" borderId="0"/>
    <x:xf numFmtId="164" fontId="5" fillId="0" borderId="0" applyFont="0" applyFill="0" applyBorder="0" applyAlignment="0" applyProtection="0"/>
  </x:cellStyleXfs>
  <x:cellXfs count="428">
    <x:xf numFmtId="0" fontId="0" fillId="0" borderId="0" xfId="0"/>
    <x:xf numFmtId="0" fontId="1" fillId="0" borderId="0" xfId="0" applyFont="1"/>
    <x:xf numFmtId="0" fontId="1" fillId="0" borderId="0" xfId="0" applyFont="1" applyAlignment="1">
      <x:alignment horizontal="center"/>
    </x:xf>
    <x:xf numFmtId="3" fontId="0" fillId="0" borderId="0" xfId="0" applyNumberFormat="1"/>
    <x:xf numFmtId="3" fontId="1" fillId="0" borderId="0" xfId="0" applyNumberFormat="1" applyFont="1"/>
    <x:xf numFmtId="0" fontId="0" fillId="0" borderId="0" xfId="0" applyAlignment="1">
      <x:alignment vertical="center" wrapText="1"/>
    </x:xf>
    <x:xf numFmtId="3" fontId="0" fillId="4" borderId="0" xfId="0" applyNumberFormat="1" applyFill="1"/>
    <x:xf numFmtId="0" fontId="0" fillId="4" borderId="0" xfId="0" applyFill="1"/>
    <x:xf numFmtId="0" fontId="1" fillId="6" borderId="0" xfId="0" applyFont="1" applyFill="1"/>
    <x:xf numFmtId="3" fontId="1" fillId="6" borderId="9" xfId="0" applyNumberFormat="1" applyFont="1" applyFill="1" applyBorder="1"/>
    <x:xf numFmtId="0" fontId="1" fillId="6" borderId="0" xfId="0" applyFont="1" applyFill="1" applyAlignment="1">
      <x:alignment horizontal="center"/>
    </x:xf>
    <x:xf numFmtId="0" fontId="0" fillId="0" borderId="10" xfId="0" applyBorder="1"/>
    <x:xf numFmtId="0" fontId="1" fillId="0" borderId="10" xfId="0" applyFont="1" applyBorder="1"/>
    <x:xf numFmtId="17" fontId="0" fillId="0" borderId="10" xfId="0" applyNumberFormat="1" applyBorder="1" applyAlignment="1">
      <x:alignment horizontal="right"/>
    </x:xf>
    <x:xf numFmtId="0" fontId="0" fillId="0" borderId="10" xfId="0" applyBorder="1" applyAlignment="1">
      <x:alignment horizontal="right"/>
    </x:xf>
    <x:xf numFmtId="0" fontId="0" fillId="0" borderId="12" xfId="0" applyBorder="1"/>
    <x:xf numFmtId="0" fontId="0" fillId="0" borderId="11" xfId="0" applyBorder="1" applyAlignment="1">
      <x:alignment vertical="center" wrapText="1"/>
    </x:xf>
    <x:xf numFmtId="0" fontId="0" fillId="0" borderId="11" xfId="0" applyBorder="1" applyAlignment="1">
      <x:alignment horizontal="left" vertical="center"/>
    </x:xf>
    <x:xf numFmtId="0" fontId="0" fillId="0" borderId="13" xfId="0" applyBorder="1"/>
    <x:xf numFmtId="0" fontId="0" fillId="0" borderId="14" xfId="0" applyBorder="1"/>
    <x:xf numFmtId="0" fontId="2" fillId="3" borderId="11" xfId="0" applyFont="1" applyFill="1" applyBorder="1" applyAlignment="1">
      <x:alignment horizontal="center"/>
    </x:xf>
    <x:xf numFmtId="0" fontId="0" fillId="0" borderId="11" xfId="0" applyBorder="1" applyAlignment="1">
      <x:alignment vertical="top" wrapText="1"/>
    </x:xf>
    <x:xf numFmtId="0" fontId="3" fillId="5" borderId="11" xfId="0" applyFont="1" applyFill="1" applyBorder="1" applyAlignment="1">
      <x:alignment horizontal="center" vertical="center" wrapText="1"/>
    </x:xf>
    <x:xf numFmtId="0" fontId="4" fillId="5" borderId="11" xfId="0" applyFont="1" applyFill="1" applyBorder="1" applyAlignment="1">
      <x:alignment horizontal="center" vertical="center" wrapText="1"/>
    </x:xf>
    <x:xf numFmtId="9" fontId="4" fillId="5" borderId="11" xfId="0" applyNumberFormat="1" applyFont="1" applyFill="1" applyBorder="1" applyAlignment="1">
      <x:alignment horizontal="center" vertical="center" wrapText="1"/>
    </x:xf>
    <x:xf numFmtId="0" fontId="3" fillId="2" borderId="11" xfId="0" applyFont="1" applyFill="1" applyBorder="1" applyAlignment="1">
      <x:alignment horizontal="center" vertical="center" wrapText="1"/>
    </x:xf>
    <x:xf numFmtId="0" fontId="6" fillId="7" borderId="0" xfId="0" applyFont="1" applyFill="1"/>
    <x:xf numFmtId="3" fontId="6" fillId="7" borderId="9" xfId="0" applyNumberFormat="1" applyFont="1" applyFill="1" applyBorder="1" applyAlignment="1">
      <x:alignment horizontal="right"/>
    </x:xf>
    <x:xf numFmtId="3" fontId="6" fillId="7" borderId="9" xfId="0" applyNumberFormat="1" applyFont="1" applyFill="1" applyBorder="1"/>
    <x:xf numFmtId="164" fontId="1" fillId="6" borderId="9" xfId="1" applyFont="1" applyFill="1" applyBorder="1"/>
    <x:xf numFmtId="0" fontId="7" fillId="0" borderId="10" xfId="0" applyFont="1" applyBorder="1"/>
    <x:xf numFmtId="0" fontId="8" fillId="0" borderId="10" xfId="0" applyFont="1" applyBorder="1"/>
    <x:xf numFmtId="3" fontId="0" fillId="8" borderId="0" xfId="0" applyNumberFormat="1" applyFill="1"/>
    <x:xf numFmtId="3" fontId="0" fillId="9" borderId="0" xfId="0" applyNumberFormat="1" applyFill="1"/>
    <x:xf numFmtId="3" fontId="0" fillId="10" borderId="0" xfId="0" applyNumberFormat="1" applyFill="1"/>
    <x:xf numFmtId="164" fontId="0" fillId="10" borderId="0" xfId="1" applyFont="1" applyFill="1" applyAlignment="1">
      <x:alignment horizontal="right"/>
    </x:xf>
    <x:xf numFmtId="164" fontId="0" fillId="10" borderId="0" xfId="1" applyFont="1" applyFill="1"/>
    <x:xf numFmtId="164" fontId="9" fillId="10" borderId="0" xfId="1" applyFont="1" applyFill="1"/>
    <x:xf numFmtId="164" fontId="0" fillId="9" borderId="0" xfId="1" applyFont="1" applyFill="1"/>
    <x:xf numFmtId="0" fontId="0" fillId="0" borderId="0" xfId="0" applyAlignment="1">
      <x:alignment horizontal="center" vertical="center" wrapText="1"/>
    </x:xf>
    <x:xf numFmtId="0" fontId="0" fillId="2" borderId="11" xfId="0" applyFill="1" applyBorder="1" applyAlignment="1">
      <x:alignment horizontal="center"/>
    </x:xf>
    <x:xf numFmtId="0" fontId="0" fillId="0" borderId="0" xfId="0" applyAlignment="1">
      <x:alignment horizontal="center" vertical="center"/>
    </x:xf>
    <x:xf numFmtId="0" fontId="1" fillId="0" borderId="1" xfId="0" applyFont="1" applyBorder="1" applyAlignment="1">
      <x:alignment vertical="top"/>
    </x:xf>
    <x:xf numFmtId="0" fontId="1" fillId="0" borderId="2" xfId="0" applyFont="1" applyBorder="1" applyAlignment="1">
      <x:alignment vertical="top"/>
    </x:xf>
    <x:xf numFmtId="0" fontId="1" fillId="0" borderId="3" xfId="0" applyFont="1" applyBorder="1" applyAlignment="1">
      <x:alignment vertical="top"/>
    </x:xf>
    <x:xf numFmtId="0" fontId="1" fillId="0" borderId="4" xfId="0" applyFont="1" applyBorder="1" applyAlignment="1">
      <x:alignment vertical="top"/>
    </x:xf>
    <x:xf numFmtId="0" fontId="1" fillId="0" borderId="0" xfId="0" applyFont="1" applyAlignment="1">
      <x:alignment vertical="top"/>
    </x:xf>
    <x:xf numFmtId="0" fontId="1" fillId="0" borderId="5" xfId="0" applyFont="1" applyBorder="1" applyAlignment="1">
      <x:alignment vertical="top"/>
    </x:xf>
    <x:xf numFmtId="0" fontId="1" fillId="0" borderId="6" xfId="0" applyFont="1" applyBorder="1" applyAlignment="1">
      <x:alignment vertical="top"/>
    </x:xf>
    <x:xf numFmtId="0" fontId="1" fillId="0" borderId="7" xfId="0" applyFont="1" applyBorder="1" applyAlignment="1">
      <x:alignment vertical="top"/>
    </x:xf>
    <x:xf numFmtId="0" fontId="1" fillId="0" borderId="8" xfId="0" applyFont="1" applyBorder="1" applyAlignment="1">
      <x:alignment vertical="top"/>
    </x:xf>
    <x:xf numFmtId="0" fontId="0" fillId="0" borderId="0" xfId="0" applyAlignment="1">
      <x:alignment horizontal="center"/>
    </x:xf>
    <x:xf numFmtId="0" fontId="1" fillId="0" borderId="0" xfId="0" applyFont="1" applyAlignment="1">
      <x:alignment horizontal="center" vertical="center"/>
    </x:xf>
    <x:xf numFmtId="0" fontId="1" fillId="3" borderId="7" xfId="0" applyFont="1" applyFill="1" applyBorder="1" applyAlignment="1">
      <x:alignment horizontal="left" vertical="top" wrapText="1"/>
    </x:xf>
    <x:xf numFmtId="0" fontId="0" fillId="0" borderId="15" xfId="0" applyNumberFormat="1" applyFont="1" applyFill="1" applyBorder="1"/>
    <x:xf numFmtId="0" fontId="1" fillId="0" borderId="15" xfId="0" applyNumberFormat="1" applyFont="1" applyFill="1" applyBorder="1"/>
    <x:xf numFmtId="0" fontId="1" fillId="0" borderId="15" xfId="0" applyNumberFormat="1" applyFont="1" applyFill="1" applyBorder="1" applyAlignment="1">
      <x:alignment horizontal="center"/>
    </x:xf>
    <x:xf numFmtId="3" fontId="0" fillId="0" borderId="15" xfId="0" applyNumberFormat="1" applyFont="1" applyFill="1" applyBorder="1"/>
    <x:xf numFmtId="3" fontId="1" fillId="0" borderId="15" xfId="0" applyNumberFormat="1" applyFont="1" applyFill="1" applyBorder="1"/>
    <x:xf numFmtId="0" fontId="0" fillId="0" borderId="15" xfId="0" applyNumberFormat="1" applyFont="1" applyFill="1" applyBorder="1" applyAlignment="1">
      <x:alignment vertical="center" wrapText="1"/>
    </x:xf>
    <x:xf numFmtId="3" fontId="0" fillId="4" borderId="15" xfId="0" applyNumberFormat="1" applyFont="1" applyFill="1" applyBorder="1"/>
    <x:xf numFmtId="0" fontId="0" fillId="4" borderId="15" xfId="0" applyNumberFormat="1" applyFont="1" applyFill="1" applyBorder="1"/>
    <x:xf numFmtId="0" fontId="1" fillId="6" borderId="15" xfId="0" applyNumberFormat="1" applyFont="1" applyFill="1" applyBorder="1"/>
    <x:xf numFmtId="3" fontId="1" fillId="6" borderId="16" xfId="0" applyNumberFormat="1" applyFont="1" applyFill="1" applyBorder="1"/>
    <x:xf numFmtId="0" fontId="1" fillId="6" borderId="15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/>
    <x:xf numFmtId="0" fontId="1" fillId="0" borderId="17" xfId="0" applyNumberFormat="1" applyFont="1" applyFill="1" applyBorder="1"/>
    <x:xf numFmtId="17" fontId="0" fillId="0" borderId="17" xfId="0" applyNumberFormat="1" applyFont="1" applyFill="1" applyBorder="1" applyAlignment="1">
      <x:alignment horizontal="right"/>
    </x:xf>
    <x:xf numFmtId="0" fontId="0" fillId="0" borderId="17" xfId="0" applyNumberFormat="1" applyFont="1" applyFill="1" applyBorder="1" applyAlignment="1">
      <x:alignment horizontal="right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horizontal="left" vertical="center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2" fillId="3" borderId="19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vertical="top" wrapText="1"/>
    </x:xf>
    <x:xf numFmtId="0" fontId="3" fillId="5" borderId="19" xfId="0" applyNumberFormat="1" applyFont="1" applyFill="1" applyBorder="1" applyAlignment="1">
      <x:alignment horizontal="center" vertical="center" wrapText="1"/>
    </x:xf>
    <x:xf numFmtId="0" fontId="4" fillId="5" borderId="19" xfId="0" applyNumberFormat="1" applyFont="1" applyFill="1" applyBorder="1" applyAlignment="1">
      <x:alignment horizontal="center" vertical="center" wrapText="1"/>
    </x:xf>
    <x:xf numFmtId="9" fontId="4" fillId="5" borderId="19" xfId="0" applyNumberFormat="1" applyFont="1" applyFill="1" applyBorder="1" applyAlignment="1">
      <x:alignment horizontal="center" vertic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6" fillId="7" borderId="15" xfId="0" applyNumberFormat="1" applyFont="1" applyFill="1" applyBorder="1"/>
    <x:xf numFmtId="3" fontId="6" fillId="7" borderId="16" xfId="0" applyNumberFormat="1" applyFont="1" applyFill="1" applyBorder="1" applyAlignment="1">
      <x:alignment horizontal="right"/>
    </x:xf>
    <x:xf numFmtId="3" fontId="6" fillId="7" borderId="16" xfId="0" applyNumberFormat="1" applyFont="1" applyFill="1" applyBorder="1"/>
    <x:xf numFmtId="164" fontId="1" fillId="6" borderId="16" xfId="0" applyNumberFormat="1" applyFont="1" applyFill="1" applyBorder="1"/>
    <x:xf numFmtId="0" fontId="7" fillId="0" borderId="17" xfId="0" applyNumberFormat="1" applyFont="1" applyFill="1" applyBorder="1"/>
    <x:xf numFmtId="0" fontId="8" fillId="0" borderId="17" xfId="0" applyNumberFormat="1" applyFont="1" applyFill="1" applyBorder="1"/>
    <x:xf numFmtId="3" fontId="0" fillId="8" borderId="15" xfId="0" applyNumberFormat="1" applyFont="1" applyFill="1" applyBorder="1"/>
    <x:xf numFmtId="3" fontId="0" fillId="9" borderId="15" xfId="0" applyNumberFormat="1" applyFont="1" applyFill="1" applyBorder="1"/>
    <x:xf numFmtId="3" fontId="0" fillId="10" borderId="15" xfId="0" applyNumberFormat="1" applyFont="1" applyFill="1" applyBorder="1"/>
    <x:xf numFmtId="164" fontId="0" fillId="10" borderId="15" xfId="0" applyNumberFormat="1" applyFont="1" applyFill="1" applyBorder="1" applyAlignment="1">
      <x:alignment horizontal="right"/>
    </x:xf>
    <x:xf numFmtId="164" fontId="0" fillId="10" borderId="15" xfId="0" applyNumberFormat="1" applyFont="1" applyFill="1" applyBorder="1"/>
    <x:xf numFmtId="164" fontId="9" fillId="10" borderId="15" xfId="0" applyNumberFormat="1" applyFont="1" applyFill="1" applyBorder="1"/>
    <x:xf numFmtId="164" fontId="0" fillId="9" borderId="15" xfId="0" applyNumberFormat="1" applyFont="1" applyFill="1" applyBorder="1"/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2" borderId="19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1" fillId="0" borderId="22" xfId="0" applyNumberFormat="1" applyFont="1" applyFill="1" applyBorder="1" applyAlignment="1">
      <x:alignment vertical="top"/>
    </x:xf>
    <x:xf numFmtId="0" fontId="1" fillId="0" borderId="23" xfId="0" applyNumberFormat="1" applyFont="1" applyFill="1" applyBorder="1" applyAlignment="1">
      <x:alignment vertical="top"/>
    </x:xf>
    <x:xf numFmtId="0" fontId="1" fillId="0" borderId="24" xfId="0" applyNumberFormat="1" applyFont="1" applyFill="1" applyBorder="1" applyAlignment="1">
      <x:alignment vertical="top"/>
    </x:xf>
    <x:xf numFmtId="0" fontId="1" fillId="0" borderId="25" xfId="0" applyNumberFormat="1" applyFont="1" applyFill="1" applyBorder="1" applyAlignment="1">
      <x:alignment vertical="top"/>
    </x:xf>
    <x:xf numFmtId="0" fontId="1" fillId="0" borderId="15" xfId="0" applyNumberFormat="1" applyFont="1" applyFill="1" applyBorder="1" applyAlignment="1">
      <x:alignment vertical="top"/>
    </x:xf>
    <x:xf numFmtId="0" fontId="1" fillId="0" borderId="26" xfId="0" applyNumberFormat="1" applyFont="1" applyFill="1" applyBorder="1" applyAlignment="1">
      <x:alignment vertical="top"/>
    </x:xf>
    <x:xf numFmtId="0" fontId="1" fillId="0" borderId="27" xfId="0" applyNumberFormat="1" applyFont="1" applyFill="1" applyBorder="1" applyAlignment="1">
      <x:alignment vertical="top"/>
    </x:xf>
    <x:xf numFmtId="0" fontId="1" fillId="0" borderId="28" xfId="0" applyNumberFormat="1" applyFont="1" applyFill="1" applyBorder="1" applyAlignment="1">
      <x:alignment vertical="top"/>
    </x:xf>
    <x:xf numFmtId="0" fontId="1" fillId="0" borderId="29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horizontal="center"/>
    </x:xf>
    <x:xf numFmtId="0" fontId="1" fillId="0" borderId="15" xfId="0" applyNumberFormat="1" applyFont="1" applyFill="1" applyBorder="1" applyAlignment="1">
      <x:alignment horizontal="center" vertical="center"/>
    </x:xf>
    <x:xf numFmtId="0" fontId="1" fillId="3" borderId="28" xfId="0" applyNumberFormat="1" applyFont="1" applyFill="1" applyBorder="1" applyAlignment="1">
      <x:alignment horizontal="left" vertical="top" wrapText="1"/>
    </x:xf>
    <x:xf numFmtId="200" fontId="0" fillId="10" borderId="0" xfId="0" applyNumberFormat="1" applyFont="1" applyFill="1" applyBorder="1" applyAlignment="1">
      <x:alignment horizontal="right"/>
    </x:xf>
    <x:xf numFmtId="200" fontId="0" fillId="10" borderId="0" xfId="0" applyNumberFormat="1" applyFont="1" applyFill="1" applyBorder="1"/>
    <x:xf numFmtId="200" fontId="0" fillId="9" borderId="0" xfId="0" applyNumberFormat="1" applyFont="1" applyFill="1" applyBorder="1"/>
    <x:xf numFmtId="200" fontId="1" fillId="6" borderId="9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center"/>
    </x:xf>
    <x:xf numFmtId="200" fontId="9" fillId="10" borderId="0" xfId="0" applyNumberFormat="1" applyFont="1" applyFill="1" applyBorder="1"/>
    <x:xf numFmtId="200" fontId="0" fillId="4" borderId="0" xfId="0" applyNumberFormat="1" applyFont="1" applyFill="1" applyBorder="1"/>
    <x:xf numFmtId="200" fontId="6" fillId="7" borderId="9" xfId="0" applyNumberFormat="1" applyFont="1" applyFill="1" applyBorder="1" applyAlignment="1">
      <x:alignment horizontal="right"/>
    </x:xf>
    <x:xf numFmtId="200" fontId="6" fillId="7" borderId="9" xfId="0" applyNumberFormat="1" applyFont="1" applyFill="1" applyBorder="1"/>
    <x:xf numFmtId="200" fontId="0" fillId="10" borderId="15" xfId="0" applyNumberFormat="1" applyFont="1" applyFill="1" applyBorder="1" applyAlignment="1">
      <x:alignment horizontal="right"/>
    </x:xf>
    <x:xf numFmtId="200" fontId="0" fillId="10" borderId="15" xfId="0" applyNumberFormat="1" applyFont="1" applyFill="1" applyBorder="1"/>
    <x:xf numFmtId="200" fontId="0" fillId="9" borderId="15" xfId="0" applyNumberFormat="1" applyFont="1" applyFill="1" applyBorder="1"/>
    <x:xf numFmtId="200" fontId="1" fillId="6" borderId="16" xfId="0" applyNumberFormat="1" applyFont="1" applyFill="1" applyBorder="1"/>
    <x:xf numFmtId="200" fontId="1" fillId="0" borderId="15" xfId="0" applyNumberFormat="1" applyFont="1" applyFill="1" applyBorder="1"/>
    <x:xf numFmtId="200" fontId="0" fillId="0" borderId="15" xfId="0" applyNumberFormat="1" applyFont="1" applyFill="1" applyBorder="1"/>
    <x:xf numFmtId="200" fontId="1" fillId="0" borderId="15" xfId="0" applyNumberFormat="1" applyFont="1" applyFill="1" applyBorder="1" applyAlignment="1">
      <x:alignment horizontal="center"/>
    </x:xf>
    <x:xf numFmtId="200" fontId="9" fillId="10" borderId="15" xfId="0" applyNumberFormat="1" applyFont="1" applyFill="1" applyBorder="1"/>
    <x:xf numFmtId="200" fontId="0" fillId="4" borderId="15" xfId="0" applyNumberFormat="1" applyFont="1" applyFill="1" applyBorder="1"/>
    <x:xf numFmtId="200" fontId="6" fillId="7" borderId="16" xfId="0" applyNumberFormat="1" applyFont="1" applyFill="1" applyBorder="1" applyAlignment="1">
      <x:alignment horizontal="right"/>
    </x:xf>
    <x:xf numFmtId="200" fontId="6" fillId="7" borderId="16" xfId="0" applyNumberFormat="1" applyFont="1" applyFill="1" applyBorder="1"/>
    <x:xf numFmtId="201" fontId="0" fillId="8" borderId="0" xfId="0" applyNumberFormat="1" applyFont="1" applyFill="1" applyBorder="1"/>
    <x:xf numFmtId="201" fontId="0" fillId="9" borderId="0" xfId="0" applyNumberFormat="1" applyFont="1" applyFill="1" applyBorder="1"/>
    <x:xf numFmtId="201" fontId="1" fillId="6" borderId="9" xfId="0" applyNumberFormat="1" applyFont="1" applyFill="1" applyBorder="1"/>
    <x:xf numFmtId="201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center"/>
    </x:xf>
    <x:xf numFmtId="201" fontId="0" fillId="10" borderId="0" xfId="0" applyNumberFormat="1" applyFont="1" applyFill="1" applyBorder="1"/>
    <x:xf numFmtId="201" fontId="6" fillId="7" borderId="9" xfId="0" applyNumberFormat="1" applyFont="1" applyFill="1" applyBorder="1" applyAlignment="1">
      <x:alignment horizontal="right"/>
    </x:xf>
    <x:xf numFmtId="201" fontId="0" fillId="8" borderId="15" xfId="0" applyNumberFormat="1" applyFont="1" applyFill="1" applyBorder="1"/>
    <x:xf numFmtId="201" fontId="0" fillId="9" borderId="15" xfId="0" applyNumberFormat="1" applyFont="1" applyFill="1" applyBorder="1"/>
    <x:xf numFmtId="201" fontId="1" fillId="6" borderId="16" xfId="0" applyNumberFormat="1" applyFont="1" applyFill="1" applyBorder="1"/>
    <x:xf numFmtId="201" fontId="0" fillId="0" borderId="15" xfId="0" applyNumberFormat="1" applyFont="1" applyFill="1" applyBorder="1"/>
    <x:xf numFmtId="201" fontId="1" fillId="0" borderId="15" xfId="0" applyNumberFormat="1" applyFont="1" applyFill="1" applyBorder="1" applyAlignment="1">
      <x:alignment horizontal="center"/>
    </x:xf>
    <x:xf numFmtId="201" fontId="0" fillId="10" borderId="15" xfId="0" applyNumberFormat="1" applyFont="1" applyFill="1" applyBorder="1"/>
    <x:xf numFmtId="201" fontId="6" fillId="7" borderId="16" xfId="0" applyNumberFormat="1" applyFont="1" applyFill="1" applyBorder="1" applyAlignment="1">
      <x:alignment horizontal="right"/>
    </x:xf>
    <x:xf numFmtId="0" fontId="1" fillId="11" borderId="0" xfId="0" applyNumberFormat="1" applyFont="1" applyFill="1" applyBorder="1" applyAlignment="1">
      <x:alignment horizontal="center"/>
    </x:xf>
    <x:xf numFmtId="0" fontId="10" fillId="11" borderId="0" xfId="0" applyNumberFormat="1" applyFont="1" applyFill="1" applyBorder="1" applyAlignment="1">
      <x:alignment horizontal="center"/>
    </x:xf>
    <x:xf numFmtId="0" fontId="10" fillId="11" borderId="0" xfId="0" applyNumberFormat="1" applyFont="1" applyFill="1" applyBorder="1" applyAlignment="1">
      <x:alignment horizontal="center" wrapText="1"/>
    </x:xf>
    <x:xf numFmtId="0" fontId="10" fillId="11" borderId="0" xfId="0" applyNumberFormat="1" applyFont="1" applyFill="1" applyBorder="1" applyAlignment="1">
      <x:alignment horizontal="center" vertical="center" wrapText="1"/>
    </x:xf>
    <x:xf numFmtId="0" fontId="1" fillId="11" borderId="15" xfId="0" applyNumberFormat="1" applyFont="1" applyFill="1" applyBorder="1" applyAlignment="1">
      <x:alignment horizontal="center"/>
    </x:xf>
    <x:xf numFmtId="0" fontId="10" fillId="11" borderId="15" xfId="0" applyNumberFormat="1" applyFont="1" applyFill="1" applyBorder="1" applyAlignment="1">
      <x:alignment horizontal="center"/>
    </x:xf>
    <x:xf numFmtId="0" fontId="10" fillId="11" borderId="15" xfId="0" applyNumberFormat="1" applyFont="1" applyFill="1" applyBorder="1" applyAlignment="1">
      <x:alignment horizontal="center" wrapText="1"/>
    </x:xf>
    <x:xf numFmtId="0" fontId="10" fillId="11" borderId="15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200" fontId="1" fillId="11" borderId="0" xfId="0" applyNumberFormat="1" applyFont="1" applyFill="1" applyBorder="1" applyAlignment="1">
      <x:alignment horizontal="center"/>
    </x:xf>
    <x:xf numFmtId="201" fontId="1" fillId="11" borderId="0" xfId="0" applyNumberFormat="1" applyFont="1" applyFill="1" applyBorder="1" applyAlignment="1">
      <x:alignment horizontal="center"/>
    </x:xf>
    <x:xf numFmtId="0" fontId="10" fillId="11" borderId="0" xfId="0" applyNumberFormat="1" applyFont="1" applyFill="1" applyBorder="1"/>
    <x:xf numFmtId="200" fontId="10" fillId="11" borderId="0" xfId="0" applyNumberFormat="1" applyFont="1" applyFill="1" applyBorder="1" applyAlignment="1">
      <x:alignment horizontal="center"/>
    </x:xf>
    <x:xf numFmtId="201" fontId="10" fillId="11" borderId="0" xfId="0" applyNumberFormat="1" applyFont="1" applyFill="1" applyBorder="1" applyAlignment="1">
      <x:alignment horizontal="center"/>
    </x:xf>
    <x:xf numFmtId="0" fontId="10" fillId="11" borderId="0" xfId="0" applyNumberFormat="1" applyFont="1" applyFill="1" applyBorder="1" applyAlignment="1">
      <x:alignment wrapText="1"/>
    </x:xf>
    <x:xf numFmtId="200" fontId="10" fillId="11" borderId="0" xfId="0" applyNumberFormat="1" applyFont="1" applyFill="1" applyBorder="1" applyAlignment="1">
      <x:alignment horizontal="center" wrapText="1"/>
    </x:xf>
    <x:xf numFmtId="201" fontId="10" fillId="11" borderId="0" xfId="0" applyNumberFormat="1" applyFont="1" applyFill="1" applyBorder="1" applyAlignment="1">
      <x:alignment horizontal="center" wrapText="1"/>
    </x:xf>
    <x:xf numFmtId="200" fontId="10" fillId="11" borderId="0" xfId="0" applyNumberFormat="1" applyFont="1" applyFill="1" applyBorder="1" applyAlignment="1">
      <x:alignment horizontal="center" vertical="center" wrapText="1"/>
    </x:xf>
    <x:xf numFmtId="201" fontId="10" fillId="11" borderId="0" xfId="0" applyNumberFormat="1" applyFont="1" applyFill="1" applyBorder="1" applyAlignment="1">
      <x:alignment horizontal="center" vertical="center" wrapText="1"/>
    </x:xf>
    <x:xf numFmtId="0" fontId="0" fillId="11" borderId="15" xfId="0" applyNumberFormat="1" applyFont="1" applyFill="1" applyBorder="1"/>
    <x:xf numFmtId="200" fontId="1" fillId="11" borderId="15" xfId="0" applyNumberFormat="1" applyFont="1" applyFill="1" applyBorder="1" applyAlignment="1">
      <x:alignment horizontal="center"/>
    </x:xf>
    <x:xf numFmtId="201" fontId="1" fillId="11" borderId="15" xfId="0" applyNumberFormat="1" applyFont="1" applyFill="1" applyBorder="1" applyAlignment="1">
      <x:alignment horizontal="center"/>
    </x:xf>
    <x:xf numFmtId="0" fontId="10" fillId="11" borderId="15" xfId="0" applyNumberFormat="1" applyFont="1" applyFill="1" applyBorder="1"/>
    <x:xf numFmtId="200" fontId="10" fillId="11" borderId="15" xfId="0" applyNumberFormat="1" applyFont="1" applyFill="1" applyBorder="1" applyAlignment="1">
      <x:alignment horizontal="center"/>
    </x:xf>
    <x:xf numFmtId="201" fontId="10" fillId="11" borderId="15" xfId="0" applyNumberFormat="1" applyFont="1" applyFill="1" applyBorder="1" applyAlignment="1">
      <x:alignment horizontal="center"/>
    </x:xf>
    <x:xf numFmtId="0" fontId="10" fillId="11" borderId="15" xfId="0" applyNumberFormat="1" applyFont="1" applyFill="1" applyBorder="1" applyAlignment="1">
      <x:alignment wrapText="1"/>
    </x:xf>
    <x:xf numFmtId="200" fontId="10" fillId="11" borderId="15" xfId="0" applyNumberFormat="1" applyFont="1" applyFill="1" applyBorder="1" applyAlignment="1">
      <x:alignment horizontal="center" wrapText="1"/>
    </x:xf>
    <x:xf numFmtId="201" fontId="10" fillId="11" borderId="15" xfId="0" applyNumberFormat="1" applyFont="1" applyFill="1" applyBorder="1" applyAlignment="1">
      <x:alignment horizontal="center" wrapText="1"/>
    </x:xf>
    <x:xf numFmtId="200" fontId="10" fillId="11" borderId="15" xfId="0" applyNumberFormat="1" applyFont="1" applyFill="1" applyBorder="1" applyAlignment="1">
      <x:alignment horizontal="center" vertical="center" wrapText="1"/>
    </x:xf>
    <x:xf numFmtId="201" fontId="10" fillId="11" borderId="15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/>
    <x:xf numFmtId="200" fontId="1" fillId="12" borderId="9" xfId="0" applyNumberFormat="1" applyFont="1" applyFill="1" applyBorder="1"/>
    <x:xf numFmtId="3" fontId="1" fillId="12" borderId="9" xfId="0" applyNumberFormat="1" applyFont="1" applyFill="1" applyBorder="1"/>
    <x:xf numFmtId="201" fontId="1" fillId="12" borderId="9" xfId="0" applyNumberFormat="1" applyFont="1" applyFill="1" applyBorder="1"/>
    <x:xf numFmtId="0" fontId="11" fillId="12" borderId="0" xfId="0" applyNumberFormat="1" applyFont="1" applyFill="1" applyBorder="1"/>
    <x:xf numFmtId="200" fontId="11" fillId="12" borderId="9" xfId="0" applyNumberFormat="1" applyFont="1" applyFill="1" applyBorder="1"/>
    <x:xf numFmtId="3" fontId="11" fillId="12" borderId="9" xfId="0" applyNumberFormat="1" applyFont="1" applyFill="1" applyBorder="1"/>
    <x:xf numFmtId="201" fontId="11" fillId="12" borderId="9" xfId="0" applyNumberFormat="1" applyFont="1" applyFill="1" applyBorder="1"/>
    <x:xf numFmtId="0" fontId="11" fillId="12" borderId="0" xfId="0" applyNumberFormat="1" applyFont="1" applyFill="1" applyBorder="1" applyAlignment="1">
      <x:alignment horizontal="center"/>
    </x:xf>
    <x:xf numFmtId="200" fontId="11" fillId="12" borderId="9" xfId="0" applyNumberFormat="1" applyFont="1" applyFill="1" applyBorder="1" applyAlignment="1">
      <x:alignment horizontal="center"/>
    </x:xf>
    <x:xf numFmtId="3" fontId="11" fillId="12" borderId="9" xfId="0" applyNumberFormat="1" applyFont="1" applyFill="1" applyBorder="1" applyAlignment="1">
      <x:alignment horizontal="center"/>
    </x:xf>
    <x:xf numFmtId="201" fontId="11" fillId="12" borderId="9" xfId="0" applyNumberFormat="1" applyFont="1" applyFill="1" applyBorder="1" applyAlignment="1">
      <x:alignment horizontal="center"/>
    </x:xf>
    <x:xf numFmtId="0" fontId="11" fillId="12" borderId="0" xfId="0" applyNumberFormat="1" applyFont="1" applyFill="1" applyBorder="1" applyAlignment="1">
      <x:alignment horizontal="center" vertical="center"/>
    </x:xf>
    <x:xf numFmtId="200" fontId="11" fillId="12" borderId="9" xfId="0" applyNumberFormat="1" applyFont="1" applyFill="1" applyBorder="1" applyAlignment="1">
      <x:alignment horizontal="center" vertical="center"/>
    </x:xf>
    <x:xf numFmtId="3" fontId="11" fillId="12" borderId="9" xfId="0" applyNumberFormat="1" applyFont="1" applyFill="1" applyBorder="1" applyAlignment="1">
      <x:alignment horizontal="center" vertical="center"/>
    </x:xf>
    <x:xf numFmtId="201" fontId="11" fillId="12" borderId="9" xfId="0" applyNumberFormat="1" applyFont="1" applyFill="1" applyBorder="1" applyAlignment="1">
      <x:alignment horizontal="center" vertical="center"/>
    </x:xf>
    <x:xf numFmtId="0" fontId="1" fillId="12" borderId="15" xfId="0" applyNumberFormat="1" applyFont="1" applyFill="1" applyBorder="1"/>
    <x:xf numFmtId="200" fontId="1" fillId="12" borderId="16" xfId="0" applyNumberFormat="1" applyFont="1" applyFill="1" applyBorder="1"/>
    <x:xf numFmtId="3" fontId="1" fillId="12" borderId="16" xfId="0" applyNumberFormat="1" applyFont="1" applyFill="1" applyBorder="1"/>
    <x:xf numFmtId="201" fontId="1" fillId="12" borderId="16" xfId="0" applyNumberFormat="1" applyFont="1" applyFill="1" applyBorder="1"/>
    <x:xf numFmtId="0" fontId="11" fillId="12" borderId="15" xfId="0" applyNumberFormat="1" applyFont="1" applyFill="1" applyBorder="1"/>
    <x:xf numFmtId="200" fontId="11" fillId="12" borderId="16" xfId="0" applyNumberFormat="1" applyFont="1" applyFill="1" applyBorder="1"/>
    <x:xf numFmtId="3" fontId="11" fillId="12" borderId="16" xfId="0" applyNumberFormat="1" applyFont="1" applyFill="1" applyBorder="1"/>
    <x:xf numFmtId="201" fontId="11" fillId="12" borderId="16" xfId="0" applyNumberFormat="1" applyFont="1" applyFill="1" applyBorder="1"/>
    <x:xf numFmtId="0" fontId="11" fillId="12" borderId="15" xfId="0" applyNumberFormat="1" applyFont="1" applyFill="1" applyBorder="1" applyAlignment="1">
      <x:alignment horizontal="center"/>
    </x:xf>
    <x:xf numFmtId="200" fontId="11" fillId="12" borderId="16" xfId="0" applyNumberFormat="1" applyFont="1" applyFill="1" applyBorder="1" applyAlignment="1">
      <x:alignment horizontal="center"/>
    </x:xf>
    <x:xf numFmtId="3" fontId="11" fillId="12" borderId="16" xfId="0" applyNumberFormat="1" applyFont="1" applyFill="1" applyBorder="1" applyAlignment="1">
      <x:alignment horizontal="center"/>
    </x:xf>
    <x:xf numFmtId="201" fontId="11" fillId="12" borderId="16" xfId="0" applyNumberFormat="1" applyFont="1" applyFill="1" applyBorder="1" applyAlignment="1">
      <x:alignment horizontal="center"/>
    </x:xf>
    <x:xf numFmtId="0" fontId="11" fillId="12" borderId="15" xfId="0" applyNumberFormat="1" applyFont="1" applyFill="1" applyBorder="1" applyAlignment="1">
      <x:alignment horizontal="center" vertical="center"/>
    </x:xf>
    <x:xf numFmtId="200" fontId="11" fillId="12" borderId="16" xfId="0" applyNumberFormat="1" applyFont="1" applyFill="1" applyBorder="1" applyAlignment="1">
      <x:alignment horizontal="center" vertical="center"/>
    </x:xf>
    <x:xf numFmtId="3" fontId="11" fillId="12" borderId="16" xfId="0" applyNumberFormat="1" applyFont="1" applyFill="1" applyBorder="1" applyAlignment="1">
      <x:alignment horizontal="center" vertical="center"/>
    </x:xf>
    <x:xf numFmtId="201" fontId="11" fillId="12" borderId="16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200" fontId="0" fillId="12" borderId="0" xfId="0" applyNumberFormat="1" applyFont="1" applyFill="1" applyBorder="1"/>
    <x:xf numFmtId="3" fontId="0" fillId="12" borderId="0" xfId="0" applyNumberFormat="1" applyFont="1" applyFill="1" applyBorder="1"/>
    <x:xf numFmtId="201" fontId="0" fillId="12" borderId="0" xfId="0" applyNumberFormat="1" applyFont="1" applyFill="1" applyBorder="1"/>
    <x:xf numFmtId="200" fontId="11" fillId="12" borderId="0" xfId="0" applyNumberFormat="1" applyFont="1" applyFill="1" applyBorder="1"/>
    <x:xf numFmtId="3" fontId="11" fillId="12" borderId="0" xfId="0" applyNumberFormat="1" applyFont="1" applyFill="1" applyBorder="1"/>
    <x:xf numFmtId="201" fontId="11" fillId="12" borderId="0" xfId="0" applyNumberFormat="1" applyFont="1" applyFill="1" applyBorder="1"/>
    <x:xf numFmtId="200" fontId="11" fillId="12" borderId="0" xfId="0" applyNumberFormat="1" applyFont="1" applyFill="1" applyBorder="1" applyAlignment="1">
      <x:alignment horizontal="center"/>
    </x:xf>
    <x:xf numFmtId="3" fontId="11" fillId="12" borderId="0" xfId="0" applyNumberFormat="1" applyFont="1" applyFill="1" applyBorder="1" applyAlignment="1">
      <x:alignment horizontal="center"/>
    </x:xf>
    <x:xf numFmtId="201" fontId="11" fillId="12" borderId="0" xfId="0" applyNumberFormat="1" applyFont="1" applyFill="1" applyBorder="1" applyAlignment="1">
      <x:alignment horizontal="center"/>
    </x:xf>
    <x:xf numFmtId="200" fontId="11" fillId="12" borderId="0" xfId="0" applyNumberFormat="1" applyFont="1" applyFill="1" applyBorder="1" applyAlignment="1">
      <x:alignment horizontal="center" vertical="center"/>
    </x:xf>
    <x:xf numFmtId="3" fontId="11" fillId="12" borderId="0" xfId="0" applyNumberFormat="1" applyFont="1" applyFill="1" applyBorder="1" applyAlignment="1">
      <x:alignment horizontal="center" vertical="center"/>
    </x:xf>
    <x:xf numFmtId="201" fontId="11" fillId="12" borderId="0" xfId="0" applyNumberFormat="1" applyFont="1" applyFill="1" applyBorder="1" applyAlignment="1">
      <x:alignment horizontal="center" vertical="center"/>
    </x:xf>
    <x:xf numFmtId="0" fontId="0" fillId="12" borderId="15" xfId="0" applyNumberFormat="1" applyFont="1" applyFill="1" applyBorder="1"/>
    <x:xf numFmtId="200" fontId="0" fillId="12" borderId="15" xfId="0" applyNumberFormat="1" applyFont="1" applyFill="1" applyBorder="1"/>
    <x:xf numFmtId="3" fontId="0" fillId="12" borderId="15" xfId="0" applyNumberFormat="1" applyFont="1" applyFill="1" applyBorder="1"/>
    <x:xf numFmtId="201" fontId="0" fillId="12" borderId="15" xfId="0" applyNumberFormat="1" applyFont="1" applyFill="1" applyBorder="1"/>
    <x:xf numFmtId="200" fontId="11" fillId="12" borderId="15" xfId="0" applyNumberFormat="1" applyFont="1" applyFill="1" applyBorder="1"/>
    <x:xf numFmtId="3" fontId="11" fillId="12" borderId="15" xfId="0" applyNumberFormat="1" applyFont="1" applyFill="1" applyBorder="1"/>
    <x:xf numFmtId="201" fontId="11" fillId="12" borderId="15" xfId="0" applyNumberFormat="1" applyFont="1" applyFill="1" applyBorder="1"/>
    <x:xf numFmtId="200" fontId="11" fillId="12" borderId="15" xfId="0" applyNumberFormat="1" applyFont="1" applyFill="1" applyBorder="1" applyAlignment="1">
      <x:alignment horizontal="center"/>
    </x:xf>
    <x:xf numFmtId="3" fontId="11" fillId="12" borderId="15" xfId="0" applyNumberFormat="1" applyFont="1" applyFill="1" applyBorder="1" applyAlignment="1">
      <x:alignment horizontal="center"/>
    </x:xf>
    <x:xf numFmtId="201" fontId="11" fillId="12" borderId="15" xfId="0" applyNumberFormat="1" applyFont="1" applyFill="1" applyBorder="1" applyAlignment="1">
      <x:alignment horizontal="center"/>
    </x:xf>
    <x:xf numFmtId="200" fontId="11" fillId="12" borderId="15" xfId="0" applyNumberFormat="1" applyFont="1" applyFill="1" applyBorder="1" applyAlignment="1">
      <x:alignment horizontal="center" vertical="center"/>
    </x:xf>
    <x:xf numFmtId="3" fontId="11" fillId="12" borderId="15" xfId="0" applyNumberFormat="1" applyFont="1" applyFill="1" applyBorder="1" applyAlignment="1">
      <x:alignment horizontal="center" vertical="center"/>
    </x:xf>
    <x:xf numFmtId="201" fontId="11" fillId="12" borderId="15" xfId="0" applyNumberFormat="1" applyFont="1" applyFill="1" applyBorder="1" applyAlignment="1">
      <x:alignment horizontal="center" vertical="center"/>
    </x:xf>
    <x:xf numFmtId="0" fontId="6" fillId="13" borderId="0" xfId="0" applyNumberFormat="1" applyFont="1" applyFill="1" applyBorder="1"/>
    <x:xf numFmtId="200" fontId="6" fillId="13" borderId="9" xfId="0" applyNumberFormat="1" applyFont="1" applyFill="1" applyBorder="1" applyAlignment="1">
      <x:alignment horizontal="right"/>
    </x:xf>
    <x:xf numFmtId="200" fontId="6" fillId="13" borderId="9" xfId="0" applyNumberFormat="1" applyFont="1" applyFill="1" applyBorder="1"/>
    <x:xf numFmtId="3" fontId="6" fillId="13" borderId="9" xfId="0" applyNumberFormat="1" applyFont="1" applyFill="1" applyBorder="1" applyAlignment="1">
      <x:alignment horizontal="right"/>
    </x:xf>
    <x:xf numFmtId="201" fontId="6" fillId="13" borderId="9" xfId="0" applyNumberFormat="1" applyFont="1" applyFill="1" applyBorder="1" applyAlignment="1">
      <x:alignment horizontal="right"/>
    </x:xf>
    <x:xf numFmtId="0" fontId="10" fillId="13" borderId="0" xfId="0" applyNumberFormat="1" applyFont="1" applyFill="1" applyBorder="1"/>
    <x:xf numFmtId="200" fontId="10" fillId="13" borderId="9" xfId="0" applyNumberFormat="1" applyFont="1" applyFill="1" applyBorder="1" applyAlignment="1">
      <x:alignment horizontal="right"/>
    </x:xf>
    <x:xf numFmtId="200" fontId="10" fillId="13" borderId="9" xfId="0" applyNumberFormat="1" applyFont="1" applyFill="1" applyBorder="1"/>
    <x:xf numFmtId="3" fontId="10" fillId="13" borderId="9" xfId="0" applyNumberFormat="1" applyFont="1" applyFill="1" applyBorder="1" applyAlignment="1">
      <x:alignment horizontal="right"/>
    </x:xf>
    <x:xf numFmtId="201" fontId="10" fillId="13" borderId="9" xfId="0" applyNumberFormat="1" applyFont="1" applyFill="1" applyBorder="1" applyAlignment="1">
      <x:alignment horizontal="right"/>
    </x:xf>
    <x:xf numFmtId="0" fontId="10" fillId="13" borderId="0" xfId="0" applyNumberFormat="1" applyFont="1" applyFill="1" applyBorder="1" applyAlignment="1">
      <x:alignment wrapText="1"/>
    </x:xf>
    <x:xf numFmtId="200" fontId="10" fillId="13" borderId="9" xfId="0" applyNumberFormat="1" applyFont="1" applyFill="1" applyBorder="1" applyAlignment="1">
      <x:alignment horizontal="right" wrapText="1"/>
    </x:xf>
    <x:xf numFmtId="200" fontId="10" fillId="13" borderId="9" xfId="0" applyNumberFormat="1" applyFont="1" applyFill="1" applyBorder="1" applyAlignment="1">
      <x:alignment wrapText="1"/>
    </x:xf>
    <x:xf numFmtId="3" fontId="10" fillId="13" borderId="9" xfId="0" applyNumberFormat="1" applyFont="1" applyFill="1" applyBorder="1" applyAlignment="1">
      <x:alignment horizontal="right" wrapText="1"/>
    </x:xf>
    <x:xf numFmtId="201" fontId="10" fillId="13" borderId="9" xfId="0" applyNumberFormat="1" applyFont="1" applyFill="1" applyBorder="1" applyAlignment="1">
      <x:alignment horizontal="right" wrapText="1"/>
    </x:xf>
    <x:xf numFmtId="0" fontId="10" fillId="13" borderId="0" xfId="0" applyNumberFormat="1" applyFont="1" applyFill="1" applyBorder="1" applyAlignment="1">
      <x:alignment horizontal="left" wrapText="1"/>
    </x:xf>
    <x:xf numFmtId="200" fontId="10" fillId="13" borderId="9" xfId="0" applyNumberFormat="1" applyFont="1" applyFill="1" applyBorder="1" applyAlignment="1">
      <x:alignment horizontal="left" wrapText="1"/>
    </x:xf>
    <x:xf numFmtId="3" fontId="10" fillId="13" borderId="9" xfId="0" applyNumberFormat="1" applyFont="1" applyFill="1" applyBorder="1" applyAlignment="1">
      <x:alignment horizontal="left" wrapText="1"/>
    </x:xf>
    <x:xf numFmtId="201" fontId="10" fillId="13" borderId="9" xfId="0" applyNumberFormat="1" applyFont="1" applyFill="1" applyBorder="1" applyAlignment="1">
      <x:alignment horizontal="left" wrapText="1"/>
    </x:xf>
    <x:xf numFmtId="0" fontId="10" fillId="13" borderId="0" xfId="0" applyNumberFormat="1" applyFont="1" applyFill="1" applyBorder="1" applyAlignment="1">
      <x:alignment horizontal="left" vertical="center" wrapText="1"/>
    </x:xf>
    <x:xf numFmtId="200" fontId="10" fillId="13" borderId="9" xfId="0" applyNumberFormat="1" applyFont="1" applyFill="1" applyBorder="1" applyAlignment="1">
      <x:alignment horizontal="left" vertical="center" wrapText="1"/>
    </x:xf>
    <x:xf numFmtId="3" fontId="10" fillId="13" borderId="9" xfId="0" applyNumberFormat="1" applyFont="1" applyFill="1" applyBorder="1" applyAlignment="1">
      <x:alignment horizontal="left" vertical="center" wrapText="1"/>
    </x:xf>
    <x:xf numFmtId="201" fontId="10" fillId="13" borderId="9" xfId="0" applyNumberFormat="1" applyFont="1" applyFill="1" applyBorder="1" applyAlignment="1">
      <x:alignment horizontal="left" vertical="center" wrapText="1"/>
    </x:xf>
    <x:xf numFmtId="0" fontId="6" fillId="13" borderId="15" xfId="0" applyNumberFormat="1" applyFont="1" applyFill="1" applyBorder="1"/>
    <x:xf numFmtId="200" fontId="6" fillId="13" borderId="16" xfId="0" applyNumberFormat="1" applyFont="1" applyFill="1" applyBorder="1" applyAlignment="1">
      <x:alignment horizontal="right"/>
    </x:xf>
    <x:xf numFmtId="200" fontId="6" fillId="13" borderId="16" xfId="0" applyNumberFormat="1" applyFont="1" applyFill="1" applyBorder="1"/>
    <x:xf numFmtId="3" fontId="6" fillId="13" borderId="16" xfId="0" applyNumberFormat="1" applyFont="1" applyFill="1" applyBorder="1" applyAlignment="1">
      <x:alignment horizontal="right"/>
    </x:xf>
    <x:xf numFmtId="201" fontId="6" fillId="13" borderId="16" xfId="0" applyNumberFormat="1" applyFont="1" applyFill="1" applyBorder="1" applyAlignment="1">
      <x:alignment horizontal="right"/>
    </x:xf>
    <x:xf numFmtId="0" fontId="10" fillId="13" borderId="15" xfId="0" applyNumberFormat="1" applyFont="1" applyFill="1" applyBorder="1"/>
    <x:xf numFmtId="200" fontId="10" fillId="13" borderId="16" xfId="0" applyNumberFormat="1" applyFont="1" applyFill="1" applyBorder="1" applyAlignment="1">
      <x:alignment horizontal="right"/>
    </x:xf>
    <x:xf numFmtId="200" fontId="10" fillId="13" borderId="16" xfId="0" applyNumberFormat="1" applyFont="1" applyFill="1" applyBorder="1"/>
    <x:xf numFmtId="3" fontId="10" fillId="13" borderId="16" xfId="0" applyNumberFormat="1" applyFont="1" applyFill="1" applyBorder="1" applyAlignment="1">
      <x:alignment horizontal="right"/>
    </x:xf>
    <x:xf numFmtId="201" fontId="10" fillId="13" borderId="16" xfId="0" applyNumberFormat="1" applyFont="1" applyFill="1" applyBorder="1" applyAlignment="1">
      <x:alignment horizontal="right"/>
    </x:xf>
    <x:xf numFmtId="0" fontId="10" fillId="13" borderId="15" xfId="0" applyNumberFormat="1" applyFont="1" applyFill="1" applyBorder="1" applyAlignment="1">
      <x:alignment wrapText="1"/>
    </x:xf>
    <x:xf numFmtId="200" fontId="10" fillId="13" borderId="16" xfId="0" applyNumberFormat="1" applyFont="1" applyFill="1" applyBorder="1" applyAlignment="1">
      <x:alignment horizontal="right" wrapText="1"/>
    </x:xf>
    <x:xf numFmtId="200" fontId="10" fillId="13" borderId="16" xfId="0" applyNumberFormat="1" applyFont="1" applyFill="1" applyBorder="1" applyAlignment="1">
      <x:alignment wrapText="1"/>
    </x:xf>
    <x:xf numFmtId="3" fontId="10" fillId="13" borderId="16" xfId="0" applyNumberFormat="1" applyFont="1" applyFill="1" applyBorder="1" applyAlignment="1">
      <x:alignment horizontal="right" wrapText="1"/>
    </x:xf>
    <x:xf numFmtId="201" fontId="10" fillId="13" borderId="16" xfId="0" applyNumberFormat="1" applyFont="1" applyFill="1" applyBorder="1" applyAlignment="1">
      <x:alignment horizontal="right" wrapText="1"/>
    </x:xf>
    <x:xf numFmtId="0" fontId="10" fillId="13" borderId="15" xfId="0" applyNumberFormat="1" applyFont="1" applyFill="1" applyBorder="1" applyAlignment="1">
      <x:alignment horizontal="left" wrapText="1"/>
    </x:xf>
    <x:xf numFmtId="200" fontId="10" fillId="13" borderId="16" xfId="0" applyNumberFormat="1" applyFont="1" applyFill="1" applyBorder="1" applyAlignment="1">
      <x:alignment horizontal="left" wrapText="1"/>
    </x:xf>
    <x:xf numFmtId="3" fontId="10" fillId="13" borderId="16" xfId="0" applyNumberFormat="1" applyFont="1" applyFill="1" applyBorder="1" applyAlignment="1">
      <x:alignment horizontal="left" wrapText="1"/>
    </x:xf>
    <x:xf numFmtId="201" fontId="10" fillId="13" borderId="16" xfId="0" applyNumberFormat="1" applyFont="1" applyFill="1" applyBorder="1" applyAlignment="1">
      <x:alignment horizontal="left" wrapText="1"/>
    </x:xf>
    <x:xf numFmtId="0" fontId="10" fillId="13" borderId="15" xfId="0" applyNumberFormat="1" applyFont="1" applyFill="1" applyBorder="1" applyAlignment="1">
      <x:alignment horizontal="left" vertical="center" wrapText="1"/>
    </x:xf>
    <x:xf numFmtId="200" fontId="10" fillId="13" borderId="16" xfId="0" applyNumberFormat="1" applyFont="1" applyFill="1" applyBorder="1" applyAlignment="1">
      <x:alignment horizontal="left" vertical="center" wrapText="1"/>
    </x:xf>
    <x:xf numFmtId="3" fontId="10" fillId="13" borderId="16" xfId="0" applyNumberFormat="1" applyFont="1" applyFill="1" applyBorder="1" applyAlignment="1">
      <x:alignment horizontal="left" vertical="center" wrapText="1"/>
    </x:xf>
    <x:xf numFmtId="201" fontId="10" fillId="13" borderId="16" xfId="0" applyNumberFormat="1" applyFont="1" applyFill="1" applyBorder="1" applyAlignment="1">
      <x:alignment horizontal="left" vertical="center" wrapText="1"/>
    </x:xf>
    <x:xf numFmtId="0" fontId="0" fillId="14" borderId="0" xfId="0" applyNumberFormat="1" applyFont="1" applyFill="1" applyBorder="1"/>
    <x:xf numFmtId="0" fontId="0" fillId="14" borderId="0" xfId="0" applyNumberFormat="1" applyFont="1" applyFill="1" applyBorder="1" applyAlignment="1">
      <x:alignment horizontal="center" vertical="center"/>
    </x:xf>
    <x:xf numFmtId="0" fontId="11" fillId="14" borderId="0" xfId="0" applyNumberFormat="1" applyFont="1" applyFill="1" applyBorder="1"/>
    <x:xf numFmtId="0" fontId="11" fillId="14" borderId="0" xfId="0" applyNumberFormat="1" applyFont="1" applyFill="1" applyBorder="1" applyAlignment="1">
      <x:alignment horizontal="center" vertical="center"/>
    </x:xf>
    <x:xf numFmtId="0" fontId="11" fillId="14" borderId="0" xfId="0" applyNumberFormat="1" applyFont="1" applyFill="1" applyBorder="1" applyAlignment="1">
      <x:alignment wrapText="1"/>
    </x:xf>
    <x:xf numFmtId="0" fontId="11" fillId="14" borderId="0" xfId="0" applyNumberFormat="1" applyFont="1" applyFill="1" applyBorder="1" applyAlignment="1">
      <x:alignment horizontal="center" vertical="center" wrapText="1"/>
    </x:xf>
    <x:xf numFmtId="0" fontId="11" fillId="14" borderId="0" xfId="0" applyNumberFormat="1" applyFont="1" applyFill="1" applyBorder="1" applyAlignment="1">
      <x:alignment horizontal="center" wrapText="1"/>
    </x:xf>
    <x:xf numFmtId="0" fontId="0" fillId="14" borderId="15" xfId="0" applyNumberFormat="1" applyFont="1" applyFill="1" applyBorder="1"/>
    <x:xf numFmtId="0" fontId="0" fillId="14" borderId="15" xfId="0" applyNumberFormat="1" applyFont="1" applyFill="1" applyBorder="1" applyAlignment="1">
      <x:alignment horizontal="center" vertical="center"/>
    </x:xf>
    <x:xf numFmtId="0" fontId="11" fillId="14" borderId="15" xfId="0" applyNumberFormat="1" applyFont="1" applyFill="1" applyBorder="1"/>
    <x:xf numFmtId="0" fontId="11" fillId="14" borderId="15" xfId="0" applyNumberFormat="1" applyFont="1" applyFill="1" applyBorder="1" applyAlignment="1">
      <x:alignment horizontal="center" vertical="center"/>
    </x:xf>
    <x:xf numFmtId="0" fontId="11" fillId="14" borderId="15" xfId="0" applyNumberFormat="1" applyFont="1" applyFill="1" applyBorder="1" applyAlignment="1">
      <x:alignment wrapText="1"/>
    </x:xf>
    <x:xf numFmtId="0" fontId="11" fillId="14" borderId="15" xfId="0" applyNumberFormat="1" applyFont="1" applyFill="1" applyBorder="1" applyAlignment="1">
      <x:alignment horizontal="center" vertical="center" wrapText="1"/>
    </x:xf>
    <x:xf numFmtId="0" fontId="11" fillId="14" borderId="15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 applyAlignment="1">
      <x:alignment horizontal="center" vertical="center" wrapText="1"/>
    </x:xf>
    <x:xf numFmtId="0" fontId="0" fillId="14" borderId="1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10" borderId="0" xfId="0" applyNumberFormat="1" applyFont="1" applyFill="1" applyBorder="1" applyAlignment="1">
      <x:alignment horizontal="right" wrapText="1"/>
    </x:xf>
    <x:xf numFmtId="200" fontId="0" fillId="10" borderId="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center" wrapText="1"/>
    </x:xf>
    <x:xf numFmtId="201" fontId="0" fillId="8" borderId="0" xfId="0" applyNumberFormat="1" applyFont="1" applyFill="1" applyBorder="1" applyAlignment="1">
      <x:alignment wrapText="1"/>
    </x:xf>
    <x:xf numFmtId="200" fontId="0" fillId="9" borderId="0" xfId="0" applyNumberFormat="1" applyFont="1" applyFill="1" applyBorder="1" applyAlignment="1">
      <x:alignment wrapText="1"/>
    </x:xf>
    <x:xf numFmtId="201" fontId="0" fillId="9" borderId="0" xfId="0" applyNumberFormat="1" applyFont="1" applyFill="1" applyBorder="1" applyAlignment="1">
      <x:alignment wrapText="1"/>
    </x:xf>
    <x:xf numFmtId="0" fontId="11" fillId="12" borderId="0" xfId="0" applyNumberFormat="1" applyFont="1" applyFill="1" applyBorder="1" applyAlignment="1">
      <x:alignment horizontal="center" vertical="center" wrapText="1"/>
    </x:xf>
    <x:xf numFmtId="200" fontId="11" fillId="12" borderId="9" xfId="0" applyNumberFormat="1" applyFont="1" applyFill="1" applyBorder="1" applyAlignment="1">
      <x:alignment horizontal="center" vertical="center" wrapText="1"/>
    </x:xf>
    <x:xf numFmtId="3" fontId="11" fillId="12" borderId="9" xfId="0" applyNumberFormat="1" applyFont="1" applyFill="1" applyBorder="1" applyAlignment="1">
      <x:alignment horizontal="center" vertical="center" wrapText="1"/>
    </x:xf>
    <x:xf numFmtId="201" fontId="11" fillId="12" borderId="9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9" fillId="10" borderId="0" xfId="0" applyNumberFormat="1" applyFont="1" applyFill="1" applyBorder="1" applyAlignment="1">
      <x:alignment wrapText="1"/>
    </x:xf>
    <x:xf numFmtId="201" fontId="0" fillId="10" borderId="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horizontal="left" vertical="center" wrapText="1"/>
    </x:xf>
    <x:xf numFmtId="0" fontId="1" fillId="6" borderId="0" xfId="0" applyNumberFormat="1" applyFont="1" applyFill="1" applyBorder="1" applyAlignment="1">
      <x:alignment wrapText="1"/>
    </x:xf>
    <x:xf numFmtId="200" fontId="1" fillId="6" borderId="9" xfId="0" applyNumberFormat="1" applyFont="1" applyFill="1" applyBorder="1" applyAlignment="1">
      <x:alignment wrapText="1"/>
    </x:xf>
    <x:xf numFmtId="3" fontId="1" fillId="6" borderId="9" xfId="0" applyNumberFormat="1" applyFont="1" applyFill="1" applyBorder="1" applyAlignment="1">
      <x:alignment wrapText="1"/>
    </x:xf>
    <x:xf numFmtId="201" fontId="1" fillId="6" borderId="9" xfId="0" applyNumberFormat="1" applyFont="1" applyFill="1" applyBorder="1" applyAlignment="1">
      <x:alignment wrapText="1"/>
    </x:xf>
    <x:xf numFmtId="200" fontId="11" fillId="12" borderId="0" xfId="0" applyNumberFormat="1" applyFont="1" applyFill="1" applyBorder="1" applyAlignment="1">
      <x:alignment horizontal="center" vertical="center" wrapText="1"/>
    </x:xf>
    <x:xf numFmtId="3" fontId="11" fillId="12" borderId="0" xfId="0" applyNumberFormat="1" applyFont="1" applyFill="1" applyBorder="1" applyAlignment="1">
      <x:alignment horizontal="center" vertical="center" wrapText="1"/>
    </x:xf>
    <x:xf numFmtId="201" fontId="11" fillId="1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wrapText="1"/>
    </x:xf>
    <x:xf numFmtId="200" fontId="0" fillId="10" borderId="15" xfId="0" applyNumberFormat="1" applyFont="1" applyFill="1" applyBorder="1" applyAlignment="1">
      <x:alignment horizontal="right" wrapText="1"/>
    </x:xf>
    <x:xf numFmtId="200" fontId="0" fillId="10" borderId="15" xfId="0" applyNumberFormat="1" applyFont="1" applyFill="1" applyBorder="1" applyAlignment="1">
      <x:alignment wrapText="1"/>
    </x:xf>
    <x:xf numFmtId="201" fontId="0" fillId="8" borderId="15" xfId="0" applyNumberFormat="1" applyFont="1" applyFill="1" applyBorder="1" applyAlignment="1">
      <x:alignment wrapText="1"/>
    </x:xf>
    <x:xf numFmtId="200" fontId="0" fillId="9" borderId="15" xfId="0" applyNumberFormat="1" applyFont="1" applyFill="1" applyBorder="1" applyAlignment="1">
      <x:alignment wrapText="1"/>
    </x:xf>
    <x:xf numFmtId="201" fontId="0" fillId="9" borderId="15" xfId="0" applyNumberFormat="1" applyFont="1" applyFill="1" applyBorder="1" applyAlignment="1">
      <x:alignment wrapText="1"/>
    </x:xf>
    <x:xf numFmtId="0" fontId="11" fillId="12" borderId="15" xfId="0" applyNumberFormat="1" applyFont="1" applyFill="1" applyBorder="1" applyAlignment="1">
      <x:alignment horizontal="center" vertical="center" wrapText="1"/>
    </x:xf>
    <x:xf numFmtId="200" fontId="11" fillId="12" borderId="16" xfId="0" applyNumberFormat="1" applyFont="1" applyFill="1" applyBorder="1" applyAlignment="1">
      <x:alignment horizontal="center" vertical="center" wrapText="1"/>
    </x:xf>
    <x:xf numFmtId="3" fontId="11" fillId="12" borderId="16" xfId="0" applyNumberFormat="1" applyFont="1" applyFill="1" applyBorder="1" applyAlignment="1">
      <x:alignment horizontal="center" vertical="center" wrapText="1"/>
    </x:xf>
    <x:xf numFmtId="201" fontId="11" fillId="12" borderId="16" xfId="0" applyNumberFormat="1" applyFont="1" applyFill="1" applyBorder="1" applyAlignment="1">
      <x:alignment horizontal="center" vertical="center" wrapText="1"/>
    </x:xf>
    <x:xf numFmtId="0" fontId="1" fillId="0" borderId="15" xfId="0" applyNumberFormat="1" applyFont="1" applyFill="1" applyBorder="1" applyAlignment="1">
      <x:alignment wrapText="1"/>
    </x:xf>
    <x:xf numFmtId="200" fontId="1" fillId="0" borderId="15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  <x:xf numFmtId="200" fontId="9" fillId="10" borderId="15" xfId="0" applyNumberFormat="1" applyFont="1" applyFill="1" applyBorder="1" applyAlignment="1">
      <x:alignment wrapText="1"/>
    </x:xf>
    <x:xf numFmtId="201" fontId="0" fillId="10" borderId="15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horizontal="left" vertical="center" wrapText="1"/>
    </x:xf>
    <x:xf numFmtId="0" fontId="1" fillId="6" borderId="15" xfId="0" applyNumberFormat="1" applyFont="1" applyFill="1" applyBorder="1" applyAlignment="1">
      <x:alignment wrapText="1"/>
    </x:xf>
    <x:xf numFmtId="200" fontId="1" fillId="6" borderId="16" xfId="0" applyNumberFormat="1" applyFont="1" applyFill="1" applyBorder="1" applyAlignment="1">
      <x:alignment wrapText="1"/>
    </x:xf>
    <x:xf numFmtId="3" fontId="1" fillId="6" borderId="16" xfId="0" applyNumberFormat="1" applyFont="1" applyFill="1" applyBorder="1" applyAlignment="1">
      <x:alignment wrapText="1"/>
    </x:xf>
    <x:xf numFmtId="201" fontId="1" fillId="6" borderId="16" xfId="0" applyNumberFormat="1" applyFont="1" applyFill="1" applyBorder="1" applyAlignment="1">
      <x:alignment wrapText="1"/>
    </x:xf>
    <x:xf numFmtId="200" fontId="11" fillId="12" borderId="15" xfId="0" applyNumberFormat="1" applyFont="1" applyFill="1" applyBorder="1" applyAlignment="1">
      <x:alignment horizontal="center" vertical="center" wrapText="1"/>
    </x:xf>
    <x:xf numFmtId="3" fontId="11" fillId="12" borderId="15" xfId="0" applyNumberFormat="1" applyFont="1" applyFill="1" applyBorder="1" applyAlignment="1">
      <x:alignment horizontal="center" vertical="center" wrapText="1"/>
    </x:xf>
    <x:xf numFmtId="201" fontId="11" fillId="12" borderId="15" xfId="0" applyNumberFormat="1" applyFont="1" applyFill="1" applyBorder="1" applyAlignment="1">
      <x:alignment horizontal="center" vertical="center" wrapText="1"/>
    </x:xf>
    <x:xf numFmtId="201" fontId="1" fillId="0" borderId="15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10" borderId="0" xfId="0" applyNumberFormat="1" applyFont="1" applyFill="1" applyBorder="1" applyAlignment="1">
      <x:alignment horizontal="right" vertical="center" wrapText="1"/>
    </x:xf>
    <x:xf numFmtId="200" fontId="0" fillId="10" borderId="0" xfId="0" applyNumberFormat="1" applyFont="1" applyFill="1" applyBorder="1" applyAlignment="1">
      <x:alignment vertical="center" wrapText="1"/>
    </x:xf>
    <x:xf numFmtId="201" fontId="0" fillId="8" borderId="0" xfId="0" applyNumberFormat="1" applyFont="1" applyFill="1" applyBorder="1" applyAlignment="1">
      <x:alignment vertical="center" wrapText="1"/>
    </x:xf>
    <x:xf numFmtId="200" fontId="0" fillId="9" borderId="0" xfId="0" applyNumberFormat="1" applyFont="1" applyFill="1" applyBorder="1" applyAlignment="1">
      <x:alignment vertical="center" wrapText="1"/>
    </x:xf>
    <x:xf numFmtId="201" fontId="0" fillId="9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0" fontId="9" fillId="10" borderId="0" xfId="0" applyNumberFormat="1" applyFont="1" applyFill="1" applyBorder="1" applyAlignment="1">
      <x:alignment vertical="center" wrapText="1"/>
    </x:xf>
    <x:xf numFmtId="201" fontId="0" fillId="1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6" borderId="9" xfId="0" applyNumberFormat="1" applyFont="1" applyFill="1" applyBorder="1" applyAlignment="1">
      <x:alignment vertical="center" wrapText="1"/>
    </x:xf>
    <x:xf numFmtId="3" fontId="1" fillId="6" borderId="9" xfId="0" applyNumberFormat="1" applyFont="1" applyFill="1" applyBorder="1" applyAlignment="1">
      <x:alignment vertical="center" wrapText="1"/>
    </x:xf>
    <x:xf numFmtId="201" fontId="1" fillId="6" borderId="9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200" fontId="0" fillId="10" borderId="15" xfId="0" applyNumberFormat="1" applyFont="1" applyFill="1" applyBorder="1" applyAlignment="1">
      <x:alignment horizontal="right" vertical="center" wrapText="1"/>
    </x:xf>
    <x:xf numFmtId="200" fontId="0" fillId="10" borderId="15" xfId="0" applyNumberFormat="1" applyFont="1" applyFill="1" applyBorder="1" applyAlignment="1">
      <x:alignment vertical="center" wrapText="1"/>
    </x:xf>
    <x:xf numFmtId="201" fontId="0" fillId="8" borderId="15" xfId="0" applyNumberFormat="1" applyFont="1" applyFill="1" applyBorder="1" applyAlignment="1">
      <x:alignment vertical="center" wrapText="1"/>
    </x:xf>
    <x:xf numFmtId="200" fontId="0" fillId="9" borderId="15" xfId="0" applyNumberFormat="1" applyFont="1" applyFill="1" applyBorder="1" applyAlignment="1">
      <x:alignment vertical="center" wrapText="1"/>
    </x:xf>
    <x:xf numFmtId="201" fontId="0" fillId="9" borderId="15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200" fontId="1" fillId="0" borderId="15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200" fontId="9" fillId="10" borderId="15" xfId="0" applyNumberFormat="1" applyFont="1" applyFill="1" applyBorder="1" applyAlignment="1">
      <x:alignment vertical="center" wrapText="1"/>
    </x:xf>
    <x:xf numFmtId="201" fontId="0" fillId="10" borderId="15" xfId="0" applyNumberFormat="1" applyFont="1" applyFill="1" applyBorder="1" applyAlignment="1">
      <x:alignment vertical="center" wrapText="1"/>
    </x:xf>
    <x:xf numFmtId="0" fontId="1" fillId="6" borderId="15" xfId="0" applyNumberFormat="1" applyFont="1" applyFill="1" applyBorder="1" applyAlignment="1">
      <x:alignment vertical="center" wrapText="1"/>
    </x:xf>
    <x:xf numFmtId="200" fontId="1" fillId="6" borderId="16" xfId="0" applyNumberFormat="1" applyFont="1" applyFill="1" applyBorder="1" applyAlignment="1">
      <x:alignment vertical="center" wrapText="1"/>
    </x:xf>
    <x:xf numFmtId="3" fontId="1" fillId="6" borderId="16" xfId="0" applyNumberFormat="1" applyFont="1" applyFill="1" applyBorder="1" applyAlignment="1">
      <x:alignment vertical="center" wrapText="1"/>
    </x:xf>
    <x:xf numFmtId="201" fontId="1" fillId="6" borderId="16" xfId="0" applyNumberFormat="1" applyFont="1" applyFill="1" applyBorder="1" applyAlignment="1">
      <x:alignment vertical="center" wrapText="1"/>
    </x:xf>
    <x:xf numFmtId="201" fontId="1" fillId="0" borderId="15" xfId="0" applyNumberFormat="1" applyFont="1" applyFill="1" applyBorder="1" applyAlignment="1">
      <x:alignment horizontal="center" vertical="center" wrapText="1"/>
    </x:xf>
    <x:xf numFmtId="0" fontId="0" fillId="13" borderId="11" xfId="0" applyNumberFormat="1" applyFont="1" applyFill="1" applyBorder="1" applyAlignment="1">
      <x:alignment horizontal="center"/>
    </x:xf>
    <x:xf numFmtId="0" fontId="10" fillId="13" borderId="11" xfId="0" applyNumberFormat="1" applyFont="1" applyFill="1" applyBorder="1" applyAlignment="1">
      <x:alignment horizontal="center"/>
    </x:xf>
    <x:xf numFmtId="0" fontId="10" fillId="13" borderId="11" xfId="0" applyNumberFormat="1" applyFont="1" applyFill="1" applyBorder="1" applyAlignment="1">
      <x:alignment horizontal="center" wrapText="1"/>
    </x:xf>
    <x:xf numFmtId="0" fontId="10" fillId="13" borderId="11" xfId="0" applyNumberFormat="1" applyFont="1" applyFill="1" applyBorder="1" applyAlignment="1">
      <x:alignment horizontal="left" wrapText="1"/>
    </x:xf>
    <x:xf numFmtId="0" fontId="10" fillId="13" borderId="11" xfId="0" applyNumberFormat="1" applyFont="1" applyFill="1" applyBorder="1" applyAlignment="1">
      <x:alignment horizontal="left" vertical="center" wrapText="1"/>
    </x:xf>
    <x:xf numFmtId="0" fontId="0" fillId="13" borderId="19" xfId="0" applyNumberFormat="1" applyFont="1" applyFill="1" applyBorder="1" applyAlignment="1">
      <x:alignment horizontal="center"/>
    </x:xf>
    <x:xf numFmtId="0" fontId="10" fillId="13" borderId="19" xfId="0" applyNumberFormat="1" applyFont="1" applyFill="1" applyBorder="1" applyAlignment="1">
      <x:alignment horizontal="center"/>
    </x:xf>
    <x:xf numFmtId="0" fontId="10" fillId="13" borderId="19" xfId="0" applyNumberFormat="1" applyFont="1" applyFill="1" applyBorder="1" applyAlignment="1">
      <x:alignment horizontal="center" wrapText="1"/>
    </x:xf>
    <x:xf numFmtId="0" fontId="10" fillId="13" borderId="19" xfId="0" applyNumberFormat="1" applyFont="1" applyFill="1" applyBorder="1" applyAlignment="1">
      <x:alignment horizontal="left" wrapText="1"/>
    </x:xf>
    <x:xf numFmtId="0" fontId="10" fillId="13" borderId="19" xfId="0" applyNumberFormat="1" applyFont="1" applyFill="1" applyBorder="1" applyAlignment="1">
      <x:alignment horizontal="left" vertical="center" wrapText="1"/>
    </x:xf>
    <x:xf numFmtId="0" fontId="3" fillId="11" borderId="11" xfId="0" applyNumberFormat="1" applyFont="1" applyFill="1" applyBorder="1" applyAlignment="1">
      <x:alignment horizontal="center" vertical="center" wrapText="1"/>
    </x:xf>
    <x:xf numFmtId="0" fontId="12" fillId="11" borderId="11" xfId="0" applyNumberFormat="1" applyFont="1" applyFill="1" applyBorder="1" applyAlignment="1">
      <x:alignment horizontal="center" vertical="center" wrapText="1"/>
    </x:xf>
    <x:xf numFmtId="0" fontId="3" fillId="11" borderId="19" xfId="0" applyNumberFormat="1" applyFont="1" applyFill="1" applyBorder="1" applyAlignment="1">
      <x:alignment horizontal="center" vertical="center" wrapText="1"/>
    </x:xf>
    <x:xf numFmtId="0" fontId="12" fillId="11" borderId="19" xfId="0" applyNumberFormat="1" applyFont="1" applyFill="1" applyBorder="1" applyAlignment="1">
      <x:alignment horizontal="center" vertical="center" wrapText="1"/>
    </x:xf>
    <x:xf numFmtId="0" fontId="3" fillId="5" borderId="11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0" fillId="13" borderId="15" xfId="0" applyNumberFormat="1" applyFont="1" applyFill="1" applyBorder="1"/>
    <x:xf numFmtId="0" fontId="1" fillId="13" borderId="7" xfId="0" applyNumberFormat="1" applyFont="1" applyFill="1" applyBorder="1" applyAlignment="1">
      <x:alignment horizontal="left" vertical="top" wrapText="1"/>
    </x:xf>
    <x:xf numFmtId="0" fontId="10" fillId="13" borderId="7" xfId="0" applyNumberFormat="1" applyFont="1" applyFill="1" applyBorder="1" applyAlignment="1">
      <x:alignment horizontal="left" vertical="top" wrapText="1"/>
    </x:xf>
    <x:xf numFmtId="0" fontId="10" fillId="13" borderId="7" xfId="0" applyNumberFormat="1" applyFont="1" applyFill="1" applyBorder="1" applyAlignment="1">
      <x:alignment horizontal="left" vertical="center" wrapText="1"/>
    </x:xf>
    <x:xf numFmtId="0" fontId="1" fillId="13" borderId="28" xfId="0" applyNumberFormat="1" applyFont="1" applyFill="1" applyBorder="1" applyAlignment="1">
      <x:alignment horizontal="left" vertical="top" wrapText="1"/>
    </x:xf>
    <x:xf numFmtId="0" fontId="10" fillId="13" borderId="28" xfId="0" applyNumberFormat="1" applyFont="1" applyFill="1" applyBorder="1" applyAlignment="1">
      <x:alignment horizontal="left" vertical="top" wrapText="1"/>
    </x:xf>
    <x:xf numFmtId="0" fontId="10" fillId="13" borderId="28" xfId="0" applyNumberFormat="1" applyFont="1" applyFill="1" applyBorder="1" applyAlignment="1">
      <x:alignment horizontal="left" vertical="center" wrapText="1"/>
    </x:xf>
    <x:xf numFmtId="0" fontId="1" fillId="11" borderId="1" xfId="0" applyNumberFormat="1" applyFont="1" applyFill="1" applyBorder="1" applyAlignment="1">
      <x:alignment vertical="top"/>
    </x:xf>
    <x:xf numFmtId="0" fontId="1" fillId="11" borderId="2" xfId="0" applyNumberFormat="1" applyFont="1" applyFill="1" applyBorder="1" applyAlignment="1">
      <x:alignment vertical="top"/>
    </x:xf>
    <x:xf numFmtId="0" fontId="10" fillId="11" borderId="1" xfId="0" applyNumberFormat="1" applyFont="1" applyFill="1" applyBorder="1" applyAlignment="1">
      <x:alignment vertical="top"/>
    </x:xf>
    <x:xf numFmtId="0" fontId="10" fillId="11" borderId="2" xfId="0" applyNumberFormat="1" applyFont="1" applyFill="1" applyBorder="1" applyAlignment="1">
      <x:alignment vertical="top"/>
    </x:xf>
    <x:xf numFmtId="0" fontId="10" fillId="11" borderId="1" xfId="0" applyNumberFormat="1" applyFont="1" applyFill="1" applyBorder="1" applyAlignment="1">
      <x:alignment vertical="top" wrapText="1"/>
    </x:xf>
    <x:xf numFmtId="0" fontId="10" fillId="11" borderId="2" xfId="0" applyNumberFormat="1" applyFont="1" applyFill="1" applyBorder="1" applyAlignment="1">
      <x:alignment vertical="top" wrapText="1"/>
    </x:xf>
    <x:xf numFmtId="0" fontId="10" fillId="11" borderId="1" xfId="0" applyNumberFormat="1" applyFont="1" applyFill="1" applyBorder="1" applyAlignment="1">
      <x:alignment horizontal="center" vertical="top" wrapText="1"/>
    </x:xf>
    <x:xf numFmtId="0" fontId="10" fillId="11" borderId="2" xfId="0" applyNumberFormat="1" applyFont="1" applyFill="1" applyBorder="1" applyAlignment="1">
      <x:alignment horizontal="center" vertical="top" wrapText="1"/>
    </x:xf>
    <x:xf numFmtId="0" fontId="10" fillId="11" borderId="1" xfId="0" applyNumberFormat="1" applyFont="1" applyFill="1" applyBorder="1" applyAlignment="1">
      <x:alignment horizontal="center" vertical="center" wrapText="1"/>
    </x:xf>
    <x:xf numFmtId="0" fontId="10" fillId="11" borderId="2" xfId="0" applyNumberFormat="1" applyFont="1" applyFill="1" applyBorder="1" applyAlignment="1">
      <x:alignment horizontal="center" vertical="center" wrapText="1"/>
    </x:xf>
    <x:xf numFmtId="0" fontId="1" fillId="11" borderId="22" xfId="0" applyNumberFormat="1" applyFont="1" applyFill="1" applyBorder="1" applyAlignment="1">
      <x:alignment vertical="top"/>
    </x:xf>
    <x:xf numFmtId="0" fontId="1" fillId="11" borderId="23" xfId="0" applyNumberFormat="1" applyFont="1" applyFill="1" applyBorder="1" applyAlignment="1">
      <x:alignment vertical="top"/>
    </x:xf>
    <x:xf numFmtId="0" fontId="10" fillId="11" borderId="22" xfId="0" applyNumberFormat="1" applyFont="1" applyFill="1" applyBorder="1" applyAlignment="1">
      <x:alignment vertical="top"/>
    </x:xf>
    <x:xf numFmtId="0" fontId="10" fillId="11" borderId="23" xfId="0" applyNumberFormat="1" applyFont="1" applyFill="1" applyBorder="1" applyAlignment="1">
      <x:alignment vertical="top"/>
    </x:xf>
    <x:xf numFmtId="0" fontId="10" fillId="11" borderId="22" xfId="0" applyNumberFormat="1" applyFont="1" applyFill="1" applyBorder="1" applyAlignment="1">
      <x:alignment vertical="top" wrapText="1"/>
    </x:xf>
    <x:xf numFmtId="0" fontId="10" fillId="11" borderId="23" xfId="0" applyNumberFormat="1" applyFont="1" applyFill="1" applyBorder="1" applyAlignment="1">
      <x:alignment vertical="top" wrapText="1"/>
    </x:xf>
    <x:xf numFmtId="0" fontId="10" fillId="11" borderId="22" xfId="0" applyNumberFormat="1" applyFont="1" applyFill="1" applyBorder="1" applyAlignment="1">
      <x:alignment horizontal="center" vertical="top" wrapText="1"/>
    </x:xf>
    <x:xf numFmtId="0" fontId="10" fillId="11" borderId="23" xfId="0" applyNumberFormat="1" applyFont="1" applyFill="1" applyBorder="1" applyAlignment="1">
      <x:alignment horizontal="center" vertical="top" wrapText="1"/>
    </x:xf>
    <x:xf numFmtId="0" fontId="10" fillId="11" borderId="22" xfId="0" applyNumberFormat="1" applyFont="1" applyFill="1" applyBorder="1" applyAlignment="1">
      <x:alignment horizontal="center" vertical="center" wrapText="1"/>
    </x:xf>
    <x:xf numFmtId="0" fontId="10" fillId="11" borderId="2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25" xfId="0" applyNumberFormat="1" applyFont="1" applyFill="1" applyBorder="1" applyAlignment="1">
      <x:alignment vertical="top" wrapText="1"/>
    </x:xf>
    <x:xf numFmtId="0" fontId="1" fillId="0" borderId="15" xfId="0" applyNumberFormat="1" applyFont="1" applyFill="1" applyBorder="1" applyAlignment="1">
      <x:alignment vertical="top" wrapText="1"/>
    </x:xf>
    <x:xf numFmtId="0" fontId="1" fillId="0" borderId="25" xfId="0" applyNumberFormat="1" applyFont="1" applyFill="1" applyBorder="1" applyAlignment="1">
      <x:alignment vertical="center" wrapText="1"/>
    </x:xf>
  </x:cellXfs>
  <x:cellStyles count="2">
    <x:cellStyle name="Currency" xfId="1"/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8640bbacc5ff41a8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b248e0f7a1914f75" Type="http://schemas.openxmlformats.org/officeDocument/2006/relationships/styles" Target="/xl/styles.xml"/><Relationship Id="Rfd21a8c393b843f8" Type="http://schemas.openxmlformats.org/officeDocument/2006/relationships/theme" Target="/xl/theme/theme1.xml"/><Relationship Id="Rf605172fbe2741bc" Type="http://schemas.openxmlformats.org/officeDocument/2006/relationships/worksheet" Target="/xl/worksheets/sheet1.xml"/><Relationship Id="R1ea855ae7ae74810" Type="http://schemas.openxmlformats.org/officeDocument/2006/relationships/sharedStrings" Target="/xl/sharedStrings.xml"/><Relationship Id="R9e8d4efde88c4a1a" Type="http://schemas.openxmlformats.org/officeDocument/2006/relationships/worksheet" Target="/xl/worksheets/sheet3.xml"/><Relationship Id="Rc01a75f57b3e4a7a" Type="http://schemas.openxmlformats.org/officeDocument/2006/relationships/worksheet" Target="/xl/worksheets/sheet5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e2a4157c78e44a17" Type="http://schemas.openxmlformats.org/officeDocument/2006/relationships/worksheet" Target="/xl/worksheets/sheet4.xml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5f90d1aa41d4cb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e41aaf52afd42da" /><Relationship Type="http://schemas.openxmlformats.org/officeDocument/2006/relationships/chart" Target="/xl/drawings/charts/chart2.xml" Id="Rf8a40b92d87b40af" /><Relationship Type="http://schemas.openxmlformats.org/officeDocument/2006/relationships/chart" Target="/xl/drawings/charts/chart3.xml" Id="R53bc2096e05c4e95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Distribución en Hs de Costes Calidad (CCA)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KPI´s!$B$10</c:f>
              <c:strCache>
                <c:ptCount val="1"/>
                <c:pt idx="0">
                  <c:v>ENE</c:v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cat>
            <c:strRef>
              <c:f>KPI´s!$A$11:$A$12</c:f>
              <c:strCache>
                <c:ptCount val="2"/>
                <c:pt idx="0">
                  <c:v>CCA (Test)</c:v>
                </c:pt>
                <c:pt idx="1">
                  <c:v>CCA (Peer Review)</c:v>
                </c:pt>
              </c:strCache>
            </c:strRef>
          </c:cat>
          <c:val>
            <c:numRef>
              <c:f>KPI´s!$B$11:$B$12</c:f>
              <c:numCache>
                <c:formatCode>_-"$"\ * #,##0.00_-;\-"$"\ * #,##0.00_-;_-"$"\ * "-"??_-;_-@_-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strRef>
              <c:f>KPI´s!$C$10</c:f>
              <c:strCache>
                <c:ptCount val="1"/>
                <c:pt idx="0">
                  <c:v>FEB</c:v>
                </c:pt>
              </c:strCache>
            </c:strRef>
          </c:tx>
          <c: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</a:ln>
          </c:spPr>
          <c:cat>
            <c:strRef>
              <c:f>KPI´s!$A$11:$A$12</c:f>
              <c:strCache>
                <c:ptCount val="2"/>
                <c:pt idx="0">
                  <c:v>CCA (Test)</c:v>
                </c:pt>
                <c:pt idx="1">
                  <c:v>CCA (Peer Review)</c:v>
                </c:pt>
              </c:strCache>
            </c:strRef>
          </c:cat>
          <c:val>
            <c:numRef>
              <c:f>KPI´s!$C$11:$C$12</c:f>
              <c:numCache>
                <c:formatCode>_-"$"\ * #,##0.00_-;\-"$"\ * #,##0.00_-;_-"$"\ * "-"??_-;_-@_-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strRef>
              <c:f>KPI´s!$D$10</c:f>
              <c:strCache>
                <c:ptCount val="1"/>
                <c:pt idx="0">
                  <c:v>MAR</c:v>
                </c:pt>
              </c:strCache>
            </c:strRef>
          </c:tx>
          <c: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</a:ln>
          </c:spPr>
          <c:cat>
            <c:strRef>
              <c:f>KPI´s!$A$11:$A$12</c:f>
              <c:strCache>
                <c:ptCount val="2"/>
                <c:pt idx="0">
                  <c:v>CCA (Test)</c:v>
                </c:pt>
                <c:pt idx="1">
                  <c:v>CCA (Peer Review)</c:v>
                </c:pt>
              </c:strCache>
            </c:strRef>
          </c:cat>
          <c:val>
            <c:numRef>
              <c:f>KPI´s!$D$11:$D$12</c:f>
              <c:numCache>
                <c:formatCode>_-"$"\ * #,##0.00_-;\-"$"\ * #,##0.00_-;_-"$"\ * "-"??_-;_-@_-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strRef>
              <c:f>KPI´s!$E$10</c:f>
              <c:strCache>
                <c:ptCount val="1"/>
                <c:pt idx="0">
                  <c:v>ABR</c:v>
                </c:pt>
              </c:strCache>
            </c:strRef>
          </c:tx>
          <c: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</a:ln>
          </c:spPr>
          <c:cat>
            <c:strRef>
              <c:f>KPI´s!$A$11:$A$12</c:f>
              <c:strCache>
                <c:ptCount val="2"/>
                <c:pt idx="0">
                  <c:v>CCA (Test)</c:v>
                </c:pt>
                <c:pt idx="1">
                  <c:v>CCA (Peer Review)</c:v>
                </c:pt>
              </c:strCache>
            </c:strRef>
          </c:cat>
          <c:val>
            <c:numRef>
              <c:f>KPI´s!$E$11:$E$12</c:f>
              <c:numCache>
                <c:formatCode>_-"$"\ * #,##0.00_-;\-"$"\ * #,##0.00_-;_-"$"\ * "-"??_-;_-@_-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4"/>
          <c:order val="4"/>
          <c:tx>
            <c:strRef>
              <c:f>KPI´s!$F$10</c:f>
              <c:strCache>
                <c:ptCount val="1"/>
                <c:pt idx="0">
                  <c:v>MAY</c:v>
                </c:pt>
              </c:strCache>
            </c:strRef>
          </c:tx>
          <c: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</a:ln>
          </c:spPr>
          <c:cat>
            <c:strRef>
              <c:f>KPI´s!$A$11:$A$12</c:f>
              <c:strCache>
                <c:ptCount val="2"/>
                <c:pt idx="0">
                  <c:v>CCA (Test)</c:v>
                </c:pt>
                <c:pt idx="1">
                  <c:v>CCA (Peer Review)</c:v>
                </c:pt>
              </c:strCache>
            </c:strRef>
          </c:cat>
          <c:val>
            <c:numRef>
              <c:f>KPI´s!$F$11:$F$12</c:f>
              <c:numCache>
                <c:formatCode>_-"$"\ * #,##0.00_-;\-"$"\ * #,##0.00_-;_-"$"\ * "-"??_-;_-@_-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5"/>
          <c:order val="5"/>
          <c:tx>
            <c:strRef>
              <c:f>KPI´s!$G$10</c:f>
              <c:strCache>
                <c:ptCount val="1"/>
                <c:pt idx="0">
                  <c:v>JUN</c:v>
                </c:pt>
              </c:strCache>
            </c:strRef>
          </c:tx>
          <c: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</a:ln>
          </c:spPr>
          <c:cat>
            <c:strRef>
              <c:f>KPI´s!$A$11:$A$12</c:f>
              <c:strCache>
                <c:ptCount val="2"/>
                <c:pt idx="0">
                  <c:v>CCA (Test)</c:v>
                </c:pt>
                <c:pt idx="1">
                  <c:v>CCA (Peer Review)</c:v>
                </c:pt>
              </c:strCache>
            </c:strRef>
          </c:cat>
          <c:val>
            <c:numRef>
              <c:f>KPI´s!$G$11:$G$12</c:f>
              <c:numCache>
                <c:formatCode>_-"$"\ * #,##0.00_-;\-"$"\ * #,##0.00_-;_-"$"\ * "-"??_-;_-@_-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6"/>
          <c:order val="6"/>
          <c:tx>
            <c:strRef>
              <c:f>KPI´s!$I$10</c:f>
              <c:strCache>
                <c:ptCount val="1"/>
                <c:pt idx="0">
                  <c:v>Marz</c:v>
                </c:pt>
              </c:strCache>
            </c:strRef>
          </c:tx>
          <c: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</a:ln>
          </c:spPr>
          <c:cat>
            <c:strRef>
              <c:f>KPI´s!$A$11:$A$12</c:f>
              <c:strCache>
                <c:ptCount val="2"/>
                <c:pt idx="0">
                  <c:v>CCA (Test)</c:v>
                </c:pt>
                <c:pt idx="1">
                  <c:v>CCA (Peer Review)</c:v>
                </c:pt>
              </c:strCache>
            </c:strRef>
          </c:cat>
          <c:val>
            <c:numRef>
              <c:f>KPI´s!$I$11:$I$12</c:f>
              <c:numCache>
                <c:formatCode>#,##0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val>
        </c:ser>
        <c:ser>
          <c:idx val="7"/>
          <c:order val="7"/>
          <c:tx>
            <c:strRef>
              <c:f>KPI´s!$J$10</c:f>
              <c:strCache>
                <c:ptCount val="1"/>
                <c:pt idx="0">
                  <c:v>Abril</c:v>
                </c:pt>
              </c:strCache>
            </c:strRef>
          </c:tx>
          <c: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</a:ln>
          </c:spPr>
          <c:cat>
            <c:strRef>
              <c:f>KPI´s!$A$11:$A$12</c:f>
              <c:strCache>
                <c:ptCount val="2"/>
                <c:pt idx="0">
                  <c:v>CCA (Test)</c:v>
                </c:pt>
                <c:pt idx="1">
                  <c:v>CCA (Peer Review)</c:v>
                </c:pt>
              </c:strCache>
            </c:strRef>
          </c:cat>
          <c:val>
            <c:numRef>
              <c:f>KPI´s!$J$11:$J$12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8"/>
          <c:order val="8"/>
          <c:tx>
            <c:strRef>
              <c:f>KPI´s!$K$10</c:f>
              <c:strCache>
                <c:ptCount val="1"/>
                <c:pt idx="0">
                  <c:v>Mayo</c:v>
                </c:pt>
              </c:strCache>
            </c:strRef>
          </c:tx>
          <c: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</a:ln>
          </c:spPr>
          <c:cat>
            <c:strRef>
              <c:f>KPI´s!$A$11:$A$12</c:f>
              <c:strCache>
                <c:ptCount val="2"/>
                <c:pt idx="0">
                  <c:v>CCA (Test)</c:v>
                </c:pt>
                <c:pt idx="1">
                  <c:v>CCA (Peer Review)</c:v>
                </c:pt>
              </c:strCache>
            </c:strRef>
          </c:cat>
          <c:val>
            <c:numRef>
              <c:f>KPI´s!$K$11:$K$12</c:f>
              <c:numCache>
                <c:formatCode>#,##0</c:formatCode>
                <c:ptCount val="2"/>
                <c:pt idx="0">
                  <c:v>5</c:v>
                </c:pt>
                <c:pt idx="1">
                  <c:v>0</c:v>
                </c:pt>
              </c:numCache>
            </c:numRef>
          </c:val>
        </c:ser>
        <c:ser>
          <c:idx val="9"/>
          <c:order val="9"/>
          <c:tx>
            <c:strRef>
              <c:f>KPI´s!$L$10</c:f>
              <c:strCache>
                <c:ptCount val="1"/>
                <c:pt idx="0">
                  <c:v>Junio</c:v>
                </c:pt>
              </c:strCache>
            </c:strRef>
          </c:tx>
          <c: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</a:ln>
          </c:spPr>
          <c:cat>
            <c:strRef>
              <c:f>KPI´s!$A$11:$A$12</c:f>
              <c:strCache>
                <c:ptCount val="2"/>
                <c:pt idx="0">
                  <c:v>CCA (Test)</c:v>
                </c:pt>
                <c:pt idx="1">
                  <c:v>CCA (Peer Review)</c:v>
                </c:pt>
              </c:strCache>
            </c:strRef>
          </c:cat>
          <c:val>
            <c:numRef>
              <c:f>KPI´s!$L$11:$L$12</c:f>
              <c:numCache>
                <c:formatCode>#,##0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val>
        </c:ser>
        <c:ser>
          <c:idx val="10"/>
          <c:order val="10"/>
          <c:tx>
            <c:strRef>
              <c:f>KPI´s!$M$10</c:f>
              <c:strCache>
                <c:ptCount val="1"/>
                <c:pt idx="0">
                  <c:v>Juli</c:v>
                </c:pt>
              </c:strCache>
            </c:strRef>
          </c:tx>
          <c: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</a:ln>
          </c:spPr>
          <c:cat>
            <c:strRef>
              <c:f>KPI´s!$A$11:$A$12</c:f>
              <c:strCache>
                <c:ptCount val="2"/>
                <c:pt idx="0">
                  <c:v>CCA (Test)</c:v>
                </c:pt>
                <c:pt idx="1">
                  <c:v>CCA (Peer Review)</c:v>
                </c:pt>
              </c:strCache>
            </c:strRef>
          </c:cat>
          <c:val>
            <c:numRef>
              <c:f>KPI´s!$M$11:$M$12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11"/>
          <c:order val="11"/>
          <c:tx>
            <c:strRef>
              <c:f>'Report KPIs'!#REF!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</a:ln>
          </c:spPr>
          <c:cat>
            <c:strRef>
              <c:f>KPI´s!$A$11:$A$12</c:f>
              <c:strCache>
                <c:ptCount val="2"/>
                <c:pt idx="0">
                  <c:v>CCA (Test)</c:v>
                </c:pt>
                <c:pt idx="1">
                  <c:v>CCA (Peer Review)</c:v>
                </c:pt>
              </c:strCache>
            </c:strRef>
          </c:cat>
          <c:val>
            <c:numRef>
              <c:f>'Report KPIs'!#REF!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_-&quot;$&quot;\ * #,##0.00_-;\-&quot;$&quot;\ * #,##0.00_-;_-&quot;$&quot;\ * &quot;-&quot;??_-;_-@_-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>
      <a:solidFill>
        <a:schemeClr val="tx1">
          <a:lumMod val="15000"/>
          <a:lumOff val="85000"/>
        </a:schemeClr>
      </a:solidFill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Distribución de HS C. deNo Calidad (CNCA)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KPI´s!$B$2</c:f>
              <c:strCache>
                <c:ptCount val="1"/>
                <c:pt idx="0">
                  <c:v>ENE</c:v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cat>
            <c:strRef>
              <c:f>KPI´s!$A$3:$A$7</c:f>
              <c:strCache>
                <c:ptCount val="5"/>
                <c:pt idx="0">
                  <c:v>CNCA (Client Defects)</c:v>
                </c:pt>
                <c:pt idx="1">
                  <c:v>CNCA (Retrabajo)</c:v>
                </c:pt>
                <c:pt idx="2">
                  <c:v>CNCA (Cambios Alcance)</c:v>
                </c:pt>
                <c:pt idx="3">
                  <c:v>ANS</c:v>
                </c:pt>
                <c:pt idx="4">
                  <c:v>QUEJAS/RECLAMACIONES</c:v>
                </c:pt>
              </c:strCache>
            </c:strRef>
          </c:cat>
          <c:val>
            <c:numRef>
              <c:f>KPI´s!$B$3:$B$7</c:f>
              <c:numCache>
                <c:formatCode>_-"$"\ * #,##0.00_-;\-"$"\ * #,##0.00_-;_-"$"\ * "-"??_-;_-@_-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KPI´s!$C$2</c:f>
              <c:strCache>
                <c:ptCount val="1"/>
                <c:pt idx="0">
                  <c:v>FEB</c:v>
                </c:pt>
              </c:strCache>
            </c:strRef>
          </c:tx>
          <c: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</a:ln>
          </c:spPr>
          <c:cat>
            <c:strRef>
              <c:f>KPI´s!$A$3:$A$7</c:f>
              <c:strCache>
                <c:ptCount val="5"/>
                <c:pt idx="0">
                  <c:v>CNCA (Client Defects)</c:v>
                </c:pt>
                <c:pt idx="1">
                  <c:v>CNCA (Retrabajo)</c:v>
                </c:pt>
                <c:pt idx="2">
                  <c:v>CNCA (Cambios Alcance)</c:v>
                </c:pt>
                <c:pt idx="3">
                  <c:v>ANS</c:v>
                </c:pt>
                <c:pt idx="4">
                  <c:v>QUEJAS/RECLAMACIONES</c:v>
                </c:pt>
              </c:strCache>
            </c:strRef>
          </c:cat>
          <c:val>
            <c:numRef>
              <c:f>KPI´s!$C$3:$C$7</c:f>
              <c:numCache>
                <c:formatCode>_-"$"\ * #,##0.00_-;\-"$"\ * #,##0.00_-;_-"$"\ * "-"??_-;_-@_-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KPI´s!$D$2</c:f>
              <c:strCache>
                <c:ptCount val="1"/>
                <c:pt idx="0">
                  <c:v>MAR</c:v>
                </c:pt>
              </c:strCache>
            </c:strRef>
          </c:tx>
          <c: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</a:ln>
          </c:spPr>
          <c:cat>
            <c:strRef>
              <c:f>KPI´s!$A$3:$A$7</c:f>
              <c:strCache>
                <c:ptCount val="5"/>
                <c:pt idx="0">
                  <c:v>CNCA (Client Defects)</c:v>
                </c:pt>
                <c:pt idx="1">
                  <c:v>CNCA (Retrabajo)</c:v>
                </c:pt>
                <c:pt idx="2">
                  <c:v>CNCA (Cambios Alcance)</c:v>
                </c:pt>
                <c:pt idx="3">
                  <c:v>ANS</c:v>
                </c:pt>
                <c:pt idx="4">
                  <c:v>QUEJAS/RECLAMACIONES</c:v>
                </c:pt>
              </c:strCache>
            </c:strRef>
          </c:cat>
          <c:val>
            <c:numRef>
              <c:f>KPI´s!$D$3:$D$7</c:f>
              <c:numCache>
                <c:formatCode>_-"$"\ * #,##0.00_-;\-"$"\ * #,##0.00_-;_-"$"\ * "-"??_-;_-@_-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3"/>
          <c:order val="3"/>
          <c:tx>
            <c:strRef>
              <c:f>KPI´s!$E$2</c:f>
              <c:strCache>
                <c:ptCount val="1"/>
                <c:pt idx="0">
                  <c:v>ABR</c:v>
                </c:pt>
              </c:strCache>
            </c:strRef>
          </c:tx>
          <c: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</a:ln>
          </c:spPr>
          <c:cat>
            <c:strRef>
              <c:f>KPI´s!$A$3:$A$7</c:f>
              <c:strCache>
                <c:ptCount val="5"/>
                <c:pt idx="0">
                  <c:v>CNCA (Client Defects)</c:v>
                </c:pt>
                <c:pt idx="1">
                  <c:v>CNCA (Retrabajo)</c:v>
                </c:pt>
                <c:pt idx="2">
                  <c:v>CNCA (Cambios Alcance)</c:v>
                </c:pt>
                <c:pt idx="3">
                  <c:v>ANS</c:v>
                </c:pt>
                <c:pt idx="4">
                  <c:v>QUEJAS/RECLAMACIONES</c:v>
                </c:pt>
              </c:strCache>
            </c:strRef>
          </c:cat>
          <c:val>
            <c:numRef>
              <c:f>KPI´s!$E$3:$E$7</c:f>
              <c:numCache>
                <c:formatCode>_-"$"\ * #,##0.00_-;\-"$"\ * #,##0.00_-;_-"$"\ * "-"??_-;_-@_-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4"/>
          <c:order val="4"/>
          <c:tx>
            <c:strRef>
              <c:f>KPI´s!$F$2</c:f>
              <c:strCache>
                <c:ptCount val="1"/>
                <c:pt idx="0">
                  <c:v>MAY</c:v>
                </c:pt>
              </c:strCache>
            </c:strRef>
          </c:tx>
          <c: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</a:ln>
          </c:spPr>
          <c:cat>
            <c:strRef>
              <c:f>KPI´s!$A$3:$A$7</c:f>
              <c:strCache>
                <c:ptCount val="5"/>
                <c:pt idx="0">
                  <c:v>CNCA (Client Defects)</c:v>
                </c:pt>
                <c:pt idx="1">
                  <c:v>CNCA (Retrabajo)</c:v>
                </c:pt>
                <c:pt idx="2">
                  <c:v>CNCA (Cambios Alcance)</c:v>
                </c:pt>
                <c:pt idx="3">
                  <c:v>ANS</c:v>
                </c:pt>
                <c:pt idx="4">
                  <c:v>QUEJAS/RECLAMACIONES</c:v>
                </c:pt>
              </c:strCache>
            </c:strRef>
          </c:cat>
          <c:val>
            <c:numRef>
              <c:f>KPI´s!$F$3:$F$7</c:f>
              <c:numCache>
                <c:formatCode>_-"$"\ * #,##0.00_-;\-"$"\ * #,##0.00_-;_-"$"\ * "-"??_-;_-@_-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KPI´s!$G$2</c:f>
              <c:strCache>
                <c:ptCount val="1"/>
                <c:pt idx="0">
                  <c:v>JUN</c:v>
                </c:pt>
              </c:strCache>
            </c:strRef>
          </c:tx>
          <c: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</a:ln>
          </c:spPr>
          <c:cat>
            <c:strRef>
              <c:f>KPI´s!$A$3:$A$7</c:f>
              <c:strCache>
                <c:ptCount val="5"/>
                <c:pt idx="0">
                  <c:v>CNCA (Client Defects)</c:v>
                </c:pt>
                <c:pt idx="1">
                  <c:v>CNCA (Retrabajo)</c:v>
                </c:pt>
                <c:pt idx="2">
                  <c:v>CNCA (Cambios Alcance)</c:v>
                </c:pt>
                <c:pt idx="3">
                  <c:v>ANS</c:v>
                </c:pt>
                <c:pt idx="4">
                  <c:v>QUEJAS/RECLAMACIONES</c:v>
                </c:pt>
              </c:strCache>
            </c:strRef>
          </c:cat>
          <c:val>
            <c:numRef>
              <c:f>KPI´s!$G$3:$G$7</c:f>
              <c:numCache>
                <c:formatCode>_-"$"\ * #,##0.00_-;\-"$"\ * #,##0.00_-;_-"$"\ * "-"??_-;_-@_-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KPI´s!$I$2</c:f>
              <c:strCache>
                <c:ptCount val="1"/>
                <c:pt idx="0">
                  <c:v>Marz</c:v>
                </c:pt>
              </c:strCache>
            </c:strRef>
          </c:tx>
          <c: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</a:ln>
          </c:spPr>
          <c:cat>
            <c:strRef>
              <c:f>KPI´s!$A$3:$A$7</c:f>
              <c:strCache>
                <c:ptCount val="5"/>
                <c:pt idx="0">
                  <c:v>CNCA (Client Defects)</c:v>
                </c:pt>
                <c:pt idx="1">
                  <c:v>CNCA (Retrabajo)</c:v>
                </c:pt>
                <c:pt idx="2">
                  <c:v>CNCA (Cambios Alcance)</c:v>
                </c:pt>
                <c:pt idx="3">
                  <c:v>ANS</c:v>
                </c:pt>
                <c:pt idx="4">
                  <c:v>QUEJAS/RECLAMACIONES</c:v>
                </c:pt>
              </c:strCache>
            </c:strRef>
          </c:cat>
          <c:val>
            <c:numRef>
              <c:f>KPI´s!$I$3:$I$7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KPI´s!$J$2</c:f>
              <c:strCache>
                <c:ptCount val="1"/>
                <c:pt idx="0">
                  <c:v>Abril</c:v>
                </c:pt>
              </c:strCache>
            </c:strRef>
          </c:tx>
          <c: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</a:ln>
          </c:spPr>
          <c:cat>
            <c:strRef>
              <c:f>KPI´s!$A$3:$A$7</c:f>
              <c:strCache>
                <c:ptCount val="5"/>
                <c:pt idx="0">
                  <c:v>CNCA (Client Defects)</c:v>
                </c:pt>
                <c:pt idx="1">
                  <c:v>CNCA (Retrabajo)</c:v>
                </c:pt>
                <c:pt idx="2">
                  <c:v>CNCA (Cambios Alcance)</c:v>
                </c:pt>
                <c:pt idx="3">
                  <c:v>ANS</c:v>
                </c:pt>
                <c:pt idx="4">
                  <c:v>QUEJAS/RECLAMACIONES</c:v>
                </c:pt>
              </c:strCache>
            </c:strRef>
          </c:cat>
          <c:val>
            <c:numRef>
              <c:f>KPI´s!$J$3:$J$7</c:f>
              <c:numCache>
                <c:formatCode>#,##0</c:formatCode>
                <c:ptCount val="3"/>
                <c:pt idx="0">
                  <c:v>0</c:v>
                </c:pt>
                <c:pt idx="1">
                  <c:v>5</c:v>
                </c:pt>
                <c:pt idx="2">
                  <c:v>0</c:v>
                </c:pt>
              </c:numCache>
            </c:numRef>
          </c:val>
        </c:ser>
        <c:ser>
          <c:idx val="8"/>
          <c:order val="8"/>
          <c:tx>
            <c:strRef>
              <c:f>'Report KPIs'!#REF!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</a:ln>
          </c:spPr>
          <c:cat>
            <c:strRef>
              <c:f>KPI´s!$A$3:$A$7</c:f>
              <c:strCache>
                <c:ptCount val="5"/>
                <c:pt idx="0">
                  <c:v>CNCA (Client Defects)</c:v>
                </c:pt>
                <c:pt idx="1">
                  <c:v>CNCA (Retrabajo)</c:v>
                </c:pt>
                <c:pt idx="2">
                  <c:v>CNCA (Cambios Alcance)</c:v>
                </c:pt>
                <c:pt idx="3">
                  <c:v>ANS</c:v>
                </c:pt>
                <c:pt idx="4">
                  <c:v>QUEJAS/RECLAMACIONES</c:v>
                </c:pt>
              </c:strCache>
            </c:strRef>
          </c:cat>
          <c:val>
            <c:numRef>
              <c:f>KPI´s!$K$3:$K$7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9"/>
          <c:order val="9"/>
          <c:tx>
            <c:strRef>
              <c:f>KPI´s!$K$2</c:f>
              <c:strCache>
                <c:ptCount val="1"/>
                <c:pt idx="0">
                  <c:v>Mayo</c:v>
                </c:pt>
              </c:strCache>
            </c:strRef>
          </c:tx>
          <c: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</a:ln>
          </c:spPr>
          <c:cat>
            <c:strRef>
              <c:f>KPI´s!$A$3:$A$7</c:f>
              <c:strCache>
                <c:ptCount val="5"/>
                <c:pt idx="0">
                  <c:v>CNCA (Client Defects)</c:v>
                </c:pt>
                <c:pt idx="1">
                  <c:v>CNCA (Retrabajo)</c:v>
                </c:pt>
                <c:pt idx="2">
                  <c:v>CNCA (Cambios Alcance)</c:v>
                </c:pt>
                <c:pt idx="3">
                  <c:v>ANS</c:v>
                </c:pt>
                <c:pt idx="4">
                  <c:v>QUEJAS/RECLAMACIONES</c:v>
                </c:pt>
              </c:strCache>
            </c:strRef>
          </c:cat>
          <c:val>
            <c:numRef>
              <c:f>KPI´s!$L$3:$L$7</c:f>
              <c:numCache>
                <c:formatCode>#,##0</c:formatCode>
                <c:ptCount val="3"/>
                <c:pt idx="0">
                  <c:v>0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</c:ser>
        <c:ser>
          <c:idx val="10"/>
          <c:order val="10"/>
          <c:tx>
            <c:strRef>
              <c:f>KPI´s!$M$2</c:f>
              <c:strCache>
                <c:ptCount val="1"/>
                <c:pt idx="0">
                  <c:v>Juli</c:v>
                </c:pt>
              </c:strCache>
            </c:strRef>
          </c:tx>
          <c: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</a:ln>
          </c:spPr>
          <c:cat>
            <c:strRef>
              <c:f>KPI´s!$A$3:$A$7</c:f>
              <c:strCache>
                <c:ptCount val="5"/>
                <c:pt idx="0">
                  <c:v>CNCA (Client Defects)</c:v>
                </c:pt>
                <c:pt idx="1">
                  <c:v>CNCA (Retrabajo)</c:v>
                </c:pt>
                <c:pt idx="2">
                  <c:v>CNCA (Cambios Alcance)</c:v>
                </c:pt>
                <c:pt idx="3">
                  <c:v>ANS</c:v>
                </c:pt>
                <c:pt idx="4">
                  <c:v>QUEJAS/RECLAMACIONES</c:v>
                </c:pt>
              </c:strCache>
            </c:strRef>
          </c:cat>
          <c:val>
            <c:numRef>
              <c:f>KPI´s!$M$3:$M$7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1"/>
          <c:order val="11"/>
          <c:tx>
            <c:strRef>
              <c:f>KPI´s!$L$2</c:f>
              <c:strCache>
                <c:ptCount val="1"/>
                <c:pt idx="0">
                  <c:v>Junio</c:v>
                </c:pt>
              </c:strCache>
            </c:strRef>
          </c:tx>
          <c: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</a:ln>
          </c:spPr>
          <c:cat>
            <c:strRef>
              <c:f>KPI´s!$A$3:$A$7</c:f>
              <c:strCache>
                <c:ptCount val="5"/>
                <c:pt idx="0">
                  <c:v>CNCA (Client Defects)</c:v>
                </c:pt>
                <c:pt idx="1">
                  <c:v>CNCA (Retrabajo)</c:v>
                </c:pt>
                <c:pt idx="2">
                  <c:v>CNCA (Cambios Alcance)</c:v>
                </c:pt>
                <c:pt idx="3">
                  <c:v>ANS</c:v>
                </c:pt>
                <c:pt idx="4">
                  <c:v>QUEJAS/RECLAMACIONES</c:v>
                </c:pt>
              </c:strCache>
            </c:strRef>
          </c:cat>
          <c:val>
            <c:numRef>
              <c:f>'Report KPIs'!#REF!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_-&quot;$&quot;\ * #,##0.00_-;\-&quot;$&quot;\ * #,##0.00_-;_-&quot;$&quot;\ * &quot;-&quot;??_-;_-@_-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>
      <a:solidFill>
        <a:schemeClr val="tx1">
          <a:lumMod val="15000"/>
          <a:lumOff val="85000"/>
        </a:schemeClr>
      </a:solidFill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TOTAL en Hs de C. de CALIDAD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15"/>
      <c:rotY val="20"/>
      <c:rAngAx val="1"/>
    </c:view3D>
    <c:plotArea>
      <c:layout/>
      <c:bar3DChart>
        <c:barDir val="col"/>
        <c:grouping val="stacked"/>
        <c:varyColors val="0"/>
        <c:ser>
          <c:idx val="0"/>
          <c:order val="0"/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cat>
            <c:strRef>
              <c:f>KPI´s!$I$15:$M$15</c:f>
              <c:strCache>
                <c:ptCount val="5"/>
                <c:pt idx="0">
                  <c:v>Marz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</c:v>
                </c:pt>
              </c:strCache>
            </c:strRef>
          </c:cat>
          <c:val>
            <c:numRef>
              <c:f>KPI´s!$I$16:$M$16</c:f>
              <c:numCache>
                <c:formatCode>#,##0</c:formatCode>
                <c:ptCount val="5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10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hape val="box"/>
        <c:axId val="48650112"/>
        <c:axId val="48672768"/>
      </c:bar3D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>
      <a:solidFill>
        <a:schemeClr val="tx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89202</xdr:colOff>
      <xdr:row>0</xdr:row>
      <xdr:rowOff>54429</xdr:rowOff>
    </xdr:from>
    <xdr:to>
      <xdr:col>0</xdr:col>
      <xdr:colOff>1870377</xdr:colOff>
      <xdr:row>1</xdr:row>
      <xdr:rowOff>301444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f90d1aa41d4c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217715</xdr:colOff>
      <xdr:row>1</xdr:row>
      <xdr:rowOff>2720</xdr:rowOff>
    </xdr:from>
    <xdr:to>
      <xdr:col>16</xdr:col>
      <xdr:colOff>0</xdr:colOff>
      <xdr:row>12</xdr:row>
      <xdr:rowOff>238125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41aaf52afd42da"/>
        </a:graphicData>
      </a:graphic>
    </xdr:graphicFrame>
    <xdr:clientData/>
  </xdr:twoCellAnchor>
  <xdr:twoCellAnchor>
    <xdr:from>
      <xdr:col>1</xdr:col>
      <xdr:colOff>13606</xdr:colOff>
      <xdr:row>1</xdr:row>
      <xdr:rowOff>16328</xdr:rowOff>
    </xdr:from>
    <xdr:to>
      <xdr:col>8</xdr:col>
      <xdr:colOff>748393</xdr:colOff>
      <xdr:row>12</xdr:row>
      <xdr:rowOff>222250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a40b92d87b40af"/>
        </a:graphicData>
      </a:graphic>
    </xdr:graphicFrame>
    <xdr:clientData/>
  </xdr:twoCellAnchor>
  <xdr:twoCellAnchor>
    <xdr:from>
      <xdr:col>2</xdr:col>
      <xdr:colOff>777875</xdr:colOff>
      <xdr:row>13</xdr:row>
      <xdr:rowOff>112712</xdr:rowOff>
    </xdr:from>
    <xdr:to>
      <xdr:col>13</xdr:col>
      <xdr:colOff>174625</xdr:colOff>
      <xdr:row>27</xdr:row>
      <xdr:rowOff>125412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bc2096e05c4e9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116c5420e5347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94082df1bcaf4def" /></Relationships>
</file>

<file path=xl/worksheets/sheet1.xml><?xml version="1.0" encoding="utf-8"?>
<x:worksheet xmlns:x="http://schemas.openxmlformats.org/spreadsheetml/2006/main">
  <x:sheetFormatPr defaultColWidth="11.42578125" defaultRowHeight="15"/>
  <x:cols>
    <x:col min="1" max="1" width="31.140625" style="11" customWidth="1"/>
    <x:col min="2" max="2" width="24" style="11" customWidth="1"/>
    <x:col min="3" max="3" width="130.140625" style="11" customWidth="1"/>
    <x:col min="4" max="16384" width="11.42578125" style="11" customWidth="0"/>
  </x:cols>
  <x:sheetData>
    <x:row r="1">
      <x:c r="B1" s="12" t="s">
        <x:v>0</x:v>
      </x:c>
      <x:c r="C1" s="13" t="n">
        <x:f>+TODAY()</x:f>
        <x:v>46168</x:v>
      </x:c>
    </x:row>
    <x:row r="2" ht="32.25" customHeight="1">
      <x:c r="B2" s="12" t="s">
        <x:v>1</x:v>
      </x:c>
      <x:c r="C2" s="14" t="str">
        <x:v>SOLE - Sistema de Optimización Logística Enpolex</x:v>
      </x:c>
    </x:row>
    <x:row r="3">
      <x:c r="A3" s="18"/>
      <x:c r="B3" s="18"/>
      <x:c r="C3" s="18" t="str">
        <x:v>Planilla completada con KPIs de calidad y SLAs/ANS aplicables al piloto del proyecto.</x:v>
      </x:c>
    </x:row>
    <x:row r="4" ht="21">
      <x:c r="B4" s="19"/>
      <x:c r="C4" s="20" t="s">
        <x:v>2</x:v>
      </x:c>
      <x:c r="D4" s="15"/>
    </x:row>
    <x:row r="5" ht="30">
      <x:c r="B5" s="19"/>
      <x:c r="C5" s="21" t="s">
        <x:v>3</x:v>
      </x:c>
      <x:c r="D5" s="15"/>
    </x:row>
    <x:row r="6" ht="30">
      <x:c r="B6" s="19"/>
      <x:c r="C6" s="21" t="s">
        <x:v>4</x:v>
      </x:c>
      <x:c r="D6" s="15"/>
    </x:row>
    <x:row r="7">
      <x:c r="B7" s="19"/>
      <x:c r="C7" s="21" t="s">
        <x:v>5</x:v>
      </x:c>
      <x:c r="D7" s="15"/>
    </x:row>
    <x:row r="8" ht="30">
      <x:c r="B8" s="19"/>
      <x:c r="C8" s="21" t="s">
        <x:v>6</x:v>
      </x:c>
      <x:c r="D8" s="15"/>
    </x:row>
    <x:row r="9">
      <x:c r="C9" s="18"/>
    </x:row>
    <x:row r="10">
      <x:c r="A10" s="30" t="s">
        <x:v>7</x:v>
      </x:c>
      <x:c r="B10" s="30" t="s">
        <x:v>8</x:v>
      </x:c>
    </x:row>
    <x:row r="11">
      <x:c r="B11" s="31" t="s">
        <x:v>9</x:v>
      </x:c>
    </x:row>
  </x:sheetData>
  <x:pageMargins left="0.7" right="0.7" top="0.75" bottom="0.75" header="0.3" footer="0.3"/>
  <x:drawing xmlns:r="http://schemas.openxmlformats.org/officeDocument/2006/relationships" r:id="R9116c5420e534778"/>
</x:worksheet>
</file>

<file path=xl/worksheets/sheet2.xml><?xml version="1.0" encoding="utf-8"?>
<x:worksheet xmlns:x="http://schemas.openxmlformats.org/spreadsheetml/2006/main">
  <x:sheetFormatPr defaultColWidth="11.42578125" defaultRowHeight="15"/>
  <x:cols>
    <x:col min="1" max="1" width="26" hidden="0" customWidth="1"/>
    <x:col min="2" max="2" width="11" hidden="0" customWidth="1"/>
    <x:col min="8" max="8" width="70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</x:cols>
  <x:sheetData>
    <x:row r="1" ht="24" hidden="0" customHeight="1">
      <x:c r="A1" s="283"/>
      <x:c r="B1" s="283" t="str">
        <x:v>Costos Incurridos estimados (USD)</x:v>
      </x:c>
      <x:c r="C1" s="283"/>
      <x:c r="D1" s="283"/>
      <x:c r="E1" s="283"/>
      <x:c r="F1" s="283"/>
      <x:c r="G1" s="283"/>
      <x:c r="H1" s="283" t="str">
        <x:v>* Coste = horas imputadas x tarifa media de referencia (USD 40/h). Se usa para seguimiento académico de costes de calidad.</x:v>
      </x:c>
      <x:c r="I1" s="283" t="str">
        <x:v>Horas trabajadas</x:v>
      </x:c>
      <x:c r="J1" s="283"/>
      <x:c r="K1" s="283"/>
      <x:c r="L1" s="283"/>
      <x:c r="M1" s="283"/>
    </x:row>
    <x:row r="2" ht="24" hidden="0" customHeight="1">
      <x:c r="A2" s="147" t="str">
        <x:v>KPI / Concepto</x:v>
      </x:c>
      <x:c r="B2" s="147" t="str">
        <x:v>MAR</x:v>
      </x:c>
      <x:c r="C2" s="147" t="str">
        <x:v>ABR</x:v>
      </x:c>
      <x:c r="D2" s="147" t="str">
        <x:v>MAY</x:v>
      </x:c>
      <x:c r="E2" s="147" t="str">
        <x:v>JUN</x:v>
      </x:c>
      <x:c r="F2" s="147" t="str">
        <x:v>JUL</x:v>
      </x:c>
      <x:c r="G2" s="147" t="str">
        <x:v>TOTAL</x:v>
      </x:c>
      <x:c r="H2" s="147" t="str">
        <x:v>Descripción</x:v>
      </x:c>
      <x:c r="I2" s="147" t="str">
        <x:v>Marzo</x:v>
      </x:c>
      <x:c r="J2" s="147" t="str">
        <x:v>Abril</x:v>
      </x:c>
      <x:c r="K2" s="147" t="str">
        <x:v>Mayo</x:v>
      </x:c>
      <x:c r="L2" s="147" t="str">
        <x:v>Junio</x:v>
      </x:c>
      <x:c r="M2" s="147" t="str">
        <x:v>Julio</x:v>
      </x:c>
    </x:row>
    <x:row r="3" ht="34" hidden="0" customHeight="1">
      <x:c r="A3" s="345" t="str">
        <x:v>CNCA (Client Defects)</x:v>
      </x:c>
      <x:c r="B3" s="346" t="n">
        <x:f>I3*40</x:f>
        <x:v>0</x:v>
      </x:c>
      <x:c r="C3" s="346" t="n">
        <x:f>J3*40</x:f>
        <x:v>0</x:v>
      </x:c>
      <x:c r="D3" s="346" t="n">
        <x:f>K3*40</x:f>
        <x:v>80</x:v>
      </x:c>
      <x:c r="E3" s="346" t="n">
        <x:f>L3*40</x:f>
        <x:v>120</x:v>
      </x:c>
      <x:c r="F3" s="346" t="n">
        <x:f>M3*40</x:f>
        <x:v>40</x:v>
      </x:c>
      <x:c r="G3" s="347" t="n">
        <x:f>SUM(B3:F3)</x:f>
        <x:v>240</x:v>
      </x:c>
      <x:c r="H3" s="297" t="str">
        <x:v>Coste de las horas de corrección por defectos detectados por usuario/cliente durante validaciones UAT o piloto.</x:v>
      </x:c>
      <x:c r="I3" s="348" t="n">
        <x:v>0</x:v>
      </x:c>
      <x:c r="J3" s="348" t="n">
        <x:v>0</x:v>
      </x:c>
      <x:c r="K3" s="348" t="n">
        <x:v>2</x:v>
      </x:c>
      <x:c r="L3" s="348" t="n">
        <x:v>3</x:v>
      </x:c>
      <x:c r="M3" s="348" t="n">
        <x:v>1</x:v>
      </x:c>
    </x:row>
    <x:row r="4" ht="34" hidden="0" customHeight="1">
      <x:c r="A4" s="345" t="str">
        <x:v>CNCA (Retrabajo)</x:v>
      </x:c>
      <x:c r="B4" s="346" t="n">
        <x:f>I4*40</x:f>
        <x:v>0</x:v>
      </x:c>
      <x:c r="C4" s="346" t="n">
        <x:f>J4*40</x:f>
        <x:v>200</x:v>
      </x:c>
      <x:c r="D4" s="346" t="n">
        <x:f>K4*40</x:f>
        <x:v>0</x:v>
      </x:c>
      <x:c r="E4" s="346" t="n">
        <x:f>L4*40</x:f>
        <x:v>160</x:v>
      </x:c>
      <x:c r="F4" s="346" t="n">
        <x:f>M4*40</x:f>
        <x:v>0</x:v>
      </x:c>
      <x:c r="G4" s="347" t="n">
        <x:f>SUM(B4:F4)</x:f>
        <x:v>360</x:v>
      </x:c>
      <x:c r="H4" s="297" t="str">
        <x:v>Coste por rehacer tareas atribuibles al equipo del proyecto: ajustes de pantalla, criterios incompletos o correcciones funcionales.</x:v>
      </x:c>
      <x:c r="I4" s="348" t="n">
        <x:v>0</x:v>
      </x:c>
      <x:c r="J4" s="348" t="n">
        <x:v>5</x:v>
      </x:c>
      <x:c r="K4" s="348" t="n">
        <x:v>0</x:v>
      </x:c>
      <x:c r="L4" s="348" t="n">
        <x:v>4</x:v>
      </x:c>
      <x:c r="M4" s="348" t="n">
        <x:v>0</x:v>
      </x:c>
    </x:row>
    <x:row r="5" ht="34" hidden="0" customHeight="1">
      <x:c r="A5" s="345" t="str">
        <x:v>CNCA (Cambios Alcance)</x:v>
      </x:c>
      <x:c r="B5" s="346" t="n">
        <x:f>I5*40</x:f>
        <x:v>0</x:v>
      </x:c>
      <x:c r="C5" s="346" t="n">
        <x:f>J5*40</x:f>
        <x:v>0</x:v>
      </x:c>
      <x:c r="D5" s="346" t="n">
        <x:f>K5*40</x:f>
        <x:v>0</x:v>
      </x:c>
      <x:c r="E5" s="346" t="n">
        <x:f>L5*40</x:f>
        <x:v>0</x:v>
      </x:c>
      <x:c r="F5" s="346" t="n">
        <x:f>M5*40</x:f>
        <x:v>0</x:v>
      </x:c>
      <x:c r="G5" s="347" t="n">
        <x:f>SUM(B5:F5)</x:f>
        <x:v>0</x:v>
      </x:c>
      <x:c r="H5" s="297" t="str">
        <x:v>Coste asociado a cambios de alcance no autorizados o parcialmente autorizados. Para SOLE se mantiene en cero por control formal de cambios.</x:v>
      </x:c>
      <x:c r="I5" s="348" t="n">
        <x:v>0</x:v>
      </x:c>
      <x:c r="J5" s="348" t="n">
        <x:v>0</x:v>
      </x:c>
      <x:c r="K5" s="348" t="n">
        <x:v>0</x:v>
      </x:c>
      <x:c r="L5" s="348" t="n">
        <x:v>0</x:v>
      </x:c>
      <x:c r="M5" s="348" t="n">
        <x:v>0</x:v>
      </x:c>
    </x:row>
    <x:row r="6" ht="34" hidden="0" customHeight="1">
      <x:c r="A6" s="345" t="str">
        <x:v>ANS / SLA incumplidos</x:v>
      </x:c>
      <x:c r="B6" s="349" t="n">
        <x:f>I6*40</x:f>
        <x:v>0</x:v>
      </x:c>
      <x:c r="C6" s="349" t="n">
        <x:f>J6*40</x:f>
        <x:v>0</x:v>
      </x:c>
      <x:c r="D6" s="349" t="n">
        <x:f>K6*40</x:f>
        <x:v>0</x:v>
      </x:c>
      <x:c r="E6" s="349" t="n">
        <x:f>L6*40</x:f>
        <x:v>0</x:v>
      </x:c>
      <x:c r="F6" s="349" t="n">
        <x:f>M6*40</x:f>
        <x:v>0</x:v>
      </x:c>
      <x:c r="G6" s="349" t="n">
        <x:f>SUM(B6:F6)</x:f>
        <x:v>0</x:v>
      </x:c>
      <x:c r="H6" s="297" t="str">
        <x:v>Horas de gestión/corrección derivadas de incumplimientos de niveles de servicio definidos para piloto y soporte inicial.</x:v>
      </x:c>
      <x:c r="I6" s="350" t="n">
        <x:v>0</x:v>
      </x:c>
      <x:c r="J6" s="350" t="n">
        <x:v>0</x:v>
      </x:c>
      <x:c r="K6" s="350" t="n">
        <x:v>0</x:v>
      </x:c>
      <x:c r="L6" s="350" t="n">
        <x:v>0</x:v>
      </x:c>
      <x:c r="M6" s="350" t="n">
        <x:v>0</x:v>
      </x:c>
    </x:row>
    <x:row r="7" ht="34" hidden="0" customHeight="1">
      <x:c r="A7" s="345" t="str">
        <x:v>QUEJAS/RECLAMACIONES</x:v>
      </x:c>
      <x:c r="B7" s="349" t="n">
        <x:f>I7*40</x:f>
        <x:v>0</x:v>
      </x:c>
      <x:c r="C7" s="349" t="n">
        <x:f>J7*40</x:f>
        <x:v>0</x:v>
      </x:c>
      <x:c r="D7" s="349" t="n">
        <x:f>K7*40</x:f>
        <x:v>40</x:v>
      </x:c>
      <x:c r="E7" s="349" t="n">
        <x:f>L7*40</x:f>
        <x:v>0</x:v>
      </x:c>
      <x:c r="F7" s="349" t="n">
        <x:f>M7*40</x:f>
        <x:v>0</x:v>
      </x:c>
      <x:c r="G7" s="349" t="n">
        <x:f>SUM(B7:F7)</x:f>
        <x:v>40</x:v>
      </x:c>
      <x:c r="H7" s="297" t="str">
        <x:v>Impacto operativo de reclamos de usuarios internos sobre usabilidad, evidencias digitales o trazabilidad de entregas.</x:v>
      </x:c>
      <x:c r="I7" s="350" t="n">
        <x:v>0</x:v>
      </x:c>
      <x:c r="J7" s="350" t="n">
        <x:v>0</x:v>
      </x:c>
      <x:c r="K7" s="350" t="n">
        <x:v>1</x:v>
      </x:c>
      <x:c r="L7" s="350" t="n">
        <x:v>0</x:v>
      </x:c>
      <x:c r="M7" s="350" t="n">
        <x:v>0</x:v>
      </x:c>
    </x:row>
    <x:row r="8" ht="24" hidden="0" customHeight="1">
      <x:c r="A8" s="301" t="str">
        <x:v>TOTAL CNCA</x:v>
      </x:c>
      <x:c r="B8" s="302" t="n">
        <x:f>SUM(B3:B7)</x:f>
        <x:v>0</x:v>
      </x:c>
      <x:c r="C8" s="302" t="n">
        <x:f>SUM(C3:C7)</x:f>
        <x:v>200</x:v>
      </x:c>
      <x:c r="D8" s="302" t="n">
        <x:f>SUM(D3:D7)</x:f>
        <x:v>120</x:v>
      </x:c>
      <x:c r="E8" s="302" t="n">
        <x:f>SUM(E3:E7)</x:f>
        <x:v>280</x:v>
      </x:c>
      <x:c r="F8" s="302" t="n">
        <x:f>SUM(F3:F7)</x:f>
        <x:v>40</x:v>
      </x:c>
      <x:c r="G8" s="302" t="n">
        <x:f>SUM(G3:G7)</x:f>
        <x:v>640</x:v>
      </x:c>
      <x:c r="H8" s="303"/>
      <x:c r="I8" s="304" t="n">
        <x:f>SUM(I3:I7)</x:f>
        <x:v>0</x:v>
      </x:c>
      <x:c r="J8" s="304" t="n">
        <x:f>SUM(J3:J7)</x:f>
        <x:v>5</x:v>
      </x:c>
      <x:c r="K8" s="304" t="n">
        <x:f>SUM(K3:K7)</x:f>
        <x:v>3</x:v>
      </x:c>
      <x:c r="L8" s="304" t="n">
        <x:f>SUM(L3:L7)</x:f>
        <x:v>7</x:v>
      </x:c>
      <x:c r="M8" s="304" t="n">
        <x:f>SUM(M3:M7)</x:f>
        <x:v>1</x:v>
      </x:c>
    </x:row>
    <x:row r="9" ht="24" hidden="0" customHeight="1">
      <x:c r="A9" s="351"/>
      <x:c r="B9" s="352"/>
      <x:c r="C9" s="352"/>
      <x:c r="D9" s="352"/>
      <x:c r="E9" s="352"/>
      <x:c r="F9" s="353"/>
      <x:c r="G9" s="353"/>
      <x:c r="H9" s="345"/>
      <x:c r="I9" s="354"/>
      <x:c r="J9" s="354"/>
      <x:c r="K9" s="354"/>
      <x:c r="L9" s="354"/>
      <x:c r="M9" s="354"/>
    </x:row>
    <x:row r="10" ht="24" hidden="0" customHeight="1">
      <x:c r="A10" s="147" t="str">
        <x:v>KPI / Concepto</x:v>
      </x:c>
      <x:c r="B10" s="161" t="str">
        <x:v>MAR</x:v>
      </x:c>
      <x:c r="C10" s="161" t="str">
        <x:v>ABR</x:v>
      </x:c>
      <x:c r="D10" s="161" t="str">
        <x:v>MAY</x:v>
      </x:c>
      <x:c r="E10" s="161" t="str">
        <x:v>JUN</x:v>
      </x:c>
      <x:c r="F10" s="161" t="str">
        <x:v>JUL</x:v>
      </x:c>
      <x:c r="G10" s="161" t="str">
        <x:v>TOTAL</x:v>
      </x:c>
      <x:c r="H10" s="147" t="str">
        <x:v>Descripción</x:v>
      </x:c>
      <x:c r="I10" s="162" t="str">
        <x:v>Marzo</x:v>
      </x:c>
      <x:c r="J10" s="162" t="str">
        <x:v>Abril</x:v>
      </x:c>
      <x:c r="K10" s="162" t="str">
        <x:v>Mayo</x:v>
      </x:c>
      <x:c r="L10" s="162" t="str">
        <x:v>Junio</x:v>
      </x:c>
      <x:c r="M10" s="162" t="str">
        <x:v>Julio</x:v>
      </x:c>
    </x:row>
    <x:row r="11" ht="34" hidden="0" customHeight="1">
      <x:c r="A11" s="345" t="str">
        <x:v>CCA (Test)</x:v>
      </x:c>
      <x:c r="B11" s="355" t="n">
        <x:f>I11*40</x:f>
        <x:v>0</x:v>
      </x:c>
      <x:c r="C11" s="355" t="n">
        <x:f>J11*40</x:f>
        <x:v>0</x:v>
      </x:c>
      <x:c r="D11" s="355" t="n">
        <x:f>K11*40</x:f>
        <x:v>200</x:v>
      </x:c>
      <x:c r="E11" s="355" t="n">
        <x:f>L11*40</x:f>
        <x:v>240</x:v>
      </x:c>
      <x:c r="F11" s="355" t="n">
        <x:f>M11*40</x:f>
        <x:v>80</x:v>
      </x:c>
      <x:c r="G11" s="355" t="n">
        <x:f>SUM(B11:F11)</x:f>
        <x:v>520</x:v>
      </x:c>
      <x:c r="H11" s="297" t="str">
        <x:v>Coste de ejecución del plan de pruebas funcionales, de integración, regresión y validación del piloto.</x:v>
      </x:c>
      <x:c r="I11" s="356" t="n">
        <x:v>0</x:v>
      </x:c>
      <x:c r="J11" s="356" t="n">
        <x:v>0</x:v>
      </x:c>
      <x:c r="K11" s="356" t="n">
        <x:v>5</x:v>
      </x:c>
      <x:c r="L11" s="356" t="n">
        <x:v>6</x:v>
      </x:c>
      <x:c r="M11" s="356" t="n">
        <x:v>2</x:v>
      </x:c>
    </x:row>
    <x:row r="12" ht="34" hidden="0" customHeight="1">
      <x:c r="A12" s="345" t="str">
        <x:v>CCA (Peer Review)</x:v>
      </x:c>
      <x:c r="B12" s="355" t="n">
        <x:f>I12*40</x:f>
        <x:v>80</x:v>
      </x:c>
      <x:c r="C12" s="355" t="n">
        <x:f>J12*40</x:f>
        <x:v>80</x:v>
      </x:c>
      <x:c r="D12" s="355" t="n">
        <x:f>K12*40</x:f>
        <x:v>80</x:v>
      </x:c>
      <x:c r="E12" s="355" t="n">
        <x:f>L12*40</x:f>
        <x:v>240</x:v>
      </x:c>
      <x:c r="F12" s="355" t="n">
        <x:f>M12*40</x:f>
        <x:v>80</x:v>
      </x:c>
      <x:c r="G12" s="355" t="n">
        <x:f>SUM(B12:F12)</x:f>
        <x:v>560</x:v>
      </x:c>
      <x:c r="H12" s="311" t="str">
        <x:v>Coste de revisión de pares sobre documentación funcional, código, criterios de aceptación y evidencias de testing.</x:v>
      </x:c>
      <x:c r="I12" s="356" t="n">
        <x:v>2</x:v>
      </x:c>
      <x:c r="J12" s="356" t="n">
        <x:v>2</x:v>
      </x:c>
      <x:c r="K12" s="356" t="n">
        <x:v>2</x:v>
      </x:c>
      <x:c r="L12" s="356" t="n">
        <x:v>6</x:v>
      </x:c>
      <x:c r="M12" s="356" t="n">
        <x:v>2</x:v>
      </x:c>
    </x:row>
    <x:row r="13" ht="34" hidden="0" customHeight="1">
      <x:c r="A13" s="357" t="str">
        <x:v>CCA (Capacitación/UAT)</x:v>
      </x:c>
      <x:c r="B13" s="358" t="n">
        <x:f t="shared" ref="B13:G13" si="0">I13*40</x:f>
        <x:v>0</x:v>
      </x:c>
      <x:c r="C13" s="358" t="n">
        <x:f t="shared" si="0">J13*40</x:f>
        <x:v>0</x:v>
      </x:c>
      <x:c r="D13" s="358" t="n">
        <x:f t="shared" si="0">K13*40</x:f>
        <x:v>120</x:v>
      </x:c>
      <x:c r="E13" s="358" t="n">
        <x:f t="shared" si="0">L13*40</x:f>
        <x:v>160</x:v>
      </x:c>
      <x:c r="F13" s="358" t="n">
        <x:f t="shared" si="0">M13*40</x:f>
        <x:v>80</x:v>
      </x:c>
      <x:c r="G13" s="358" t="n">
        <x:f t="shared" si="0">SUM(B13:F13)</x:f>
        <x:v>360</x:v>
      </x:c>
      <x:c r="H13" s="359" t="str">
        <x:v>Horas preventivas de capacitación, acompañamiento a usuarios clave y validación de aceptación para reducir resistencia al cambio.</x:v>
      </x:c>
      <x:c r="I13" s="360" t="n">
        <x:v>0</x:v>
      </x:c>
      <x:c r="J13" s="360" t="n">
        <x:v>0</x:v>
      </x:c>
      <x:c r="K13" s="360" t="n">
        <x:v>3</x:v>
      </x:c>
      <x:c r="L13" s="360" t="n">
        <x:v>4</x:v>
      </x:c>
      <x:c r="M13" s="360" t="n">
        <x:v>2</x:v>
      </x:c>
    </x:row>
    <x:row r="14" ht="24" hidden="0" customHeight="1">
      <x:c r="A14" s="301" t="str">
        <x:v>TOTAL CCA</x:v>
      </x:c>
      <x:c r="B14" s="316" t="n">
        <x:f>SUM(B11:B13)</x:f>
        <x:v>80</x:v>
      </x:c>
      <x:c r="C14" s="316" t="n">
        <x:f>SUM(C11:C13)</x:f>
        <x:v>80</x:v>
      </x:c>
      <x:c r="D14" s="316" t="n">
        <x:f>SUM(D11:D13)</x:f>
        <x:v>400</x:v>
      </x:c>
      <x:c r="E14" s="316" t="n">
        <x:f>SUM(E11:E13)</x:f>
        <x:v>640</x:v>
      </x:c>
      <x:c r="F14" s="316" t="n">
        <x:f>SUM(F11:F13)</x:f>
        <x:v>240</x:v>
      </x:c>
      <x:c r="G14" s="316" t="n">
        <x:f>SUM(G11:G13)</x:f>
        <x:v>1440</x:v>
      </x:c>
      <x:c r="H14" s="317"/>
      <x:c r="I14" s="318" t="n">
        <x:f>SUM(I11:I13)</x:f>
        <x:v>2</x:v>
      </x:c>
      <x:c r="J14" s="318" t="n">
        <x:f>SUM(J11:J13)</x:f>
        <x:v>2</x:v>
      </x:c>
      <x:c r="K14" s="318" t="n">
        <x:f>SUM(K11:K13)</x:f>
        <x:v>10</x:v>
      </x:c>
      <x:c r="L14" s="318" t="n">
        <x:f>SUM(L11:L13)</x:f>
        <x:v>16</x:v>
      </x:c>
      <x:c r="M14" s="318" t="n">
        <x:f>SUM(M11:M13)</x:f>
        <x:v>6</x:v>
      </x:c>
    </x:row>
    <x:row r="15" ht="24" hidden="0" customHeight="1">
      <x:c r="A15" s="345"/>
      <x:c r="B15" s="353"/>
      <x:c r="C15" s="353"/>
      <x:c r="D15" s="353"/>
      <x:c r="E15" s="353"/>
      <x:c r="F15" s="353"/>
      <x:c r="G15" s="353"/>
      <x:c r="H15" s="345"/>
      <x:c r="I15" s="361" t="str">
        <x:v>Marzo</x:v>
      </x:c>
      <x:c r="J15" s="361" t="str">
        <x:v>Abril</x:v>
      </x:c>
      <x:c r="K15" s="361" t="str">
        <x:v>Mayo</x:v>
      </x:c>
      <x:c r="L15" s="361" t="str">
        <x:v>Junio</x:v>
      </x:c>
      <x:c r="M15" s="361" t="str">
        <x:v>Julio</x:v>
      </x:c>
    </x:row>
    <x:row r="16" ht="24" hidden="0" customHeight="1">
      <x:c r="A16" s="251" t="str">
        <x:v>TOTAL COSTES REAL</x:v>
      </x:c>
      <x:c r="B16" s="252" t="n">
        <x:f>B8+B14</x:f>
        <x:v>80</x:v>
      </x:c>
      <x:c r="C16" s="252" t="n">
        <x:f>C8+C14</x:f>
        <x:v>280</x:v>
      </x:c>
      <x:c r="D16" s="252" t="n">
        <x:f>D8+D14</x:f>
        <x:v>520</x:v>
      </x:c>
      <x:c r="E16" s="252" t="n">
        <x:f>E8+E14</x:f>
        <x:v>920</x:v>
      </x:c>
      <x:c r="F16" s="252" t="n">
        <x:f>F8+F14</x:f>
        <x:v>280</x:v>
      </x:c>
      <x:c r="G16" s="252" t="n">
        <x:f>G8+G14</x:f>
        <x:v>2080</x:v>
      </x:c>
      <x:c r="H16" s="253"/>
      <x:c r="I16" s="254" t="n">
        <x:f>I8+I14</x:f>
        <x:v>2</x:v>
      </x:c>
      <x:c r="J16" s="254" t="n">
        <x:f>J8+J14</x:f>
        <x:v>7</x:v>
      </x:c>
      <x:c r="K16" s="254" t="n">
        <x:f>K8+K14</x:f>
        <x:v>13</x:v>
      </x:c>
      <x:c r="L16" s="254" t="n">
        <x:f>L8+L14</x:f>
        <x:v>23</x:v>
      </x:c>
      <x:c r="M16" s="254" t="n">
        <x:f>M8+M14</x:f>
        <x:v>7</x:v>
      </x:c>
    </x:row>
  </x:sheetData>
  <x:mergeCells>
    <x:mergeCell ref="B1:G1"/>
    <x:mergeCell ref="I1:M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1.42578125" defaultRowHeight="15"/>
  <x:cols>
    <x:col min="1" max="1" width="16" style="11" hidden="0" customWidth="1"/>
    <x:col min="2" max="2" width="28" style="11" hidden="0" customWidth="1"/>
    <x:col min="3" max="3" width="55" style="11" hidden="0" customWidth="1"/>
    <x:col min="4" max="4" width="32" style="11" hidden="0" customWidth="1"/>
    <x:col min="5" max="5" width="22" style="11" hidden="0" customWidth="1"/>
    <x:col min="6" max="6" width="48" style="11" hidden="0" customWidth="1"/>
    <x:col min="7" max="16384" width="11.42578125" style="11" customWidth="0"/>
  </x:cols>
  <x:sheetData>
    <x:row r="1" ht="28" hidden="0" customHeight="1">
      <x:c r="A1" s="382" t="str">
        <x:v>ANS / SLA aplicables al Proyecto SOLE - Piloto e implementación inicial</x:v>
      </x:c>
      <x:c r="B1" s="382"/>
      <x:c r="C1" s="382"/>
      <x:c r="D1" s="382"/>
      <x:c r="E1" s="382"/>
      <x:c r="F1" s="382"/>
      <x:c r="G1" s="15"/>
    </x:row>
    <x:row r="2" ht="28" hidden="0" customHeight="1">
      <x:c r="A2" s="389" t="str">
        <x:v>Código SLA</x:v>
      </x:c>
      <x:c r="B2" s="389" t="str">
        <x:v>Nombre SLA</x:v>
      </x:c>
      <x:c r="C2" s="389" t="str">
        <x:v>Descripción</x:v>
      </x:c>
      <x:c r="D2" s="389" t="str">
        <x:v>Nivel Objetivo</x:v>
      </x:c>
      <x:c r="E2" s="389" t="str">
        <x:v>Frecuencia de medición</x:v>
      </x:c>
      <x:c r="F2" s="389" t="str">
        <x:v>Penalización / Acción correctiva</x:v>
      </x:c>
      <x:c r="G2" s="15"/>
    </x:row>
    <x:row r="3" ht="48" hidden="0" customHeight="1">
      <x:c r="A3" s="392" t="str">
        <x:v>SLA_SOLE01</x:v>
      </x:c>
      <x:c r="B3" s="393" t="str">
        <x:v>Disponibilidad App + Backoffice</x:v>
      </x:c>
      <x:c r="C3" s="393" t="str">
        <x:v>Disponibilidad de la aplicación móvil y panel web durante la ventana operativa del piloto.</x:v>
      </x:c>
      <x:c r="D3" s="393" t="str">
        <x:v>≥ 95% en horario operativo</x:v>
      </x:c>
      <x:c r="E3" s="393" t="str">
        <x:v>Semanal durante piloto</x:v>
      </x:c>
      <x:c r="F3" s="393" t="str">
        <x:v>Sin penalidad económica; análisis de causa raíz y plan de corrección en 48 h.</x:v>
      </x:c>
      <x:c r="G3" s="15"/>
    </x:row>
    <x:row r="4" ht="48" hidden="0" customHeight="1">
      <x:c r="A4" s="392" t="str">
        <x:v>SLA_SOLE02</x:v>
      </x:c>
      <x:c r="B4" s="393" t="str">
        <x:v>Respuesta a incidentes P1/P2</x:v>
      </x:c>
      <x:c r="C4" s="393" t="str">
        <x:v>Tiempo desde el registro del incidente hasta la primera respuesta del equipo del proyecto.</x:v>
      </x:c>
      <x:c r="D4" s="393" t="str">
        <x:v>P1 ≤ 30 min / P2 ≤ 2 h</x:v>
      </x:c>
      <x:c r="E4" s="393" t="str">
        <x:v>Semanal</x:v>
      </x:c>
      <x:c r="F4" s="393" t="str">
        <x:v>Escalamiento al PM y Líder Técnico si se incumple.</x:v>
      </x:c>
      <x:c r="G4" s="15"/>
    </x:row>
    <x:row r="5" ht="48" hidden="0" customHeight="1">
      <x:c r="A5" s="392" t="str">
        <x:v>SLA_SOLE03</x:v>
      </x:c>
      <x:c r="B5" s="393" t="str">
        <x:v>Resolución de incidentes</x:v>
      </x:c>
      <x:c r="C5" s="393" t="str">
        <x:v>Tiempo objetivo para resolver incidentes según prioridad durante UAT y piloto.</x:v>
      </x:c>
      <x:c r="D5" s="393" t="str">
        <x:v>P1 ≤ 8 h / P2 ≤ 24 h / P3 ≤ 72 h</x:v>
      </x:c>
      <x:c r="E5" s="393" t="str">
        <x:v>Semanal</x:v>
      </x:c>
      <x:c r="F5" s="393" t="str">
        <x:v>Registro de no conformidad y replanificación de acciones correctivas.</x:v>
      </x:c>
      <x:c r="G5" s="15"/>
    </x:row>
    <x:row r="6" ht="48" hidden="0" customHeight="1">
      <x:c r="A6" s="392" t="str">
        <x:v>SLA_SOLE04</x:v>
      </x:c>
      <x:c r="B6" s="393" t="str">
        <x:v>Actualización de estado de entrega</x:v>
      </x:c>
      <x:c r="C6" s="393" t="str">
        <x:v>Tiempo entre evento operativo del chofer y actualización visible para logística.</x:v>
      </x:c>
      <x:c r="D6" s="393" t="str">
        <x:v>90% de eventos ≤ 5 min</x:v>
      </x:c>
      <x:c r="E6" s="393" t="str">
        <x:v>Semanal durante piloto</x:v>
      </x:c>
      <x:c r="F6" s="393" t="str">
        <x:v>Revisión de conectividad, sincronización offline y capacitación.</x:v>
      </x:c>
      <x:c r="G6" s="15"/>
    </x:row>
    <x:row r="7" ht="48" hidden="0" customHeight="1">
      <x:c r="A7" s="392" t="str">
        <x:v>SLA_SOLE05</x:v>
      </x:c>
      <x:c r="B7" s="393" t="str">
        <x:v>Sincronización offline</x:v>
      </x:c>
      <x:c r="C7" s="393" t="str">
        <x:v>Cuando no haya señal, tiempo máximo para sincronizar eventos al recuperar conectividad.</x:v>
      </x:c>
      <x:c r="D7" s="393" t="str">
        <x:v>95% de eventos ≤ 10 min</x:v>
      </x:c>
      <x:c r="E7" s="393" t="str">
        <x:v>Semanal durante piloto</x:v>
      </x:c>
      <x:c r="F7" s="393" t="str">
        <x:v>Ajuste técnico de cola offline y monitoreo de zonas críticas.</x:v>
      </x:c>
      <x:c r="G7" s="15"/>
    </x:row>
    <x:row r="8" ht="48" hidden="0" customHeight="1">
      <x:c r="A8" s="392" t="str">
        <x:v>SLA_SOLE06</x:v>
      </x:c>
      <x:c r="B8" s="393" t="str">
        <x:v>Integración ERP Tango</x:v>
      </x:c>
      <x:c r="C8" s="393" t="str">
        <x:v>Porcentaje de transacciones de consulta/actualización con Tango ejecutadas sin error crítico.</x:v>
      </x:c>
      <x:c r="D8" s="393" t="str">
        <x:v>≥ 98% transacciones exitosas</x:v>
      </x:c>
      <x:c r="E8" s="393" t="str">
        <x:v>Mensual</x:v>
      </x:c>
      <x:c r="F8" s="393" t="str">
        <x:v>Reproceso controlado, revisión de logs y prueba de regresión.</x:v>
      </x:c>
      <x:c r="G8" s="15"/>
    </x:row>
    <x:row r="9" ht="48" hidden="0" customHeight="1">
      <x:c r="A9" s="392" t="str">
        <x:v>SLA_SOLE07</x:v>
      </x:c>
      <x:c r="B9" s="393" t="str">
        <x:v>Evidencia digital de entrega</x:v>
      </x:c>
      <x:c r="C9" s="393" t="str">
        <x:v>Porcentaje de entregas con foto/remito legible y estado final correctamente registrado.</x:v>
      </x:c>
      <x:c r="D9" s="393" t="str">
        <x:v>≥ 95% de entregas del piloto</x:v>
      </x:c>
      <x:c r="E9" s="393" t="str">
        <x:v>Semanal durante piloto</x:v>
      </x:c>
      <x:c r="F9" s="393" t="str">
        <x:v>Refuerzo de capacitación y revisión de UX de carga de evidencia.</x:v>
      </x:c>
      <x:c r="G9" s="15"/>
    </x:row>
    <x:row r="10" ht="48" hidden="0" customHeight="1">
      <x:c r="A10" s="392" t="str">
        <x:v>SLA_SOLE08</x:v>
      </x:c>
      <x:c r="B10" s="393" t="str">
        <x:v>Entrega de reportes de KPIs</x:v>
      </x:c>
      <x:c r="C10" s="393" t="str">
        <x:v>Entrega de reporte ejecutivo de avance, calidad, riesgos y métricas al sponsor/equipo docente.</x:v>
      </x:c>
      <x:c r="D10" s="24" t="str">
        <x:v>100% en fecha comprometida</x:v>
      </x:c>
      <x:c r="E10" s="393" t="str">
        <x:v>Mensual / hito</x:v>
      </x:c>
      <x:c r="F10" s="393" t="str">
        <x:v>Registro en tablero y comunicación de desvío.</x:v>
      </x:c>
      <x:c r="G10" s="15"/>
    </x:row>
    <x:row r="11">
      <x:c r="A11" s="18"/>
      <x:c r="B11" s="18"/>
      <x:c r="C11" s="18"/>
      <x:c r="D11" s="18"/>
      <x:c r="E11" s="18"/>
      <x:c r="F11" s="18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1.42578125" defaultRowHeight="15"/>
  <x:cols>
    <x:col min="1" max="1" width="4.85546875" customWidth="1"/>
    <x:col min="3" max="3" width="34" hidden="0" customWidth="1"/>
    <x:col min="4" max="4" width="34" hidden="0" customWidth="1"/>
    <x:col min="5" max="5" width="50" hidden="0" customWidth="1"/>
    <x:col min="14" max="14" width="8.85546875" customWidth="1"/>
    <x:col min="15" max="15" width="11.42578125" hidden="1" customWidth="1"/>
    <x:col min="17" max="17" width="12" customWidth="1"/>
    <x:col min="18" max="18" width="40.5703125" customWidth="1"/>
    <x:col min="19" max="24" width="13.7109375" hidden="1" customWidth="1"/>
    <x:col min="25" max="25" width="43.7109375" customWidth="1"/>
    <x:col min="26" max="30" width="13.7109375" customWidth="1"/>
    <x:col min="2" max="2" width="12" hidden="0" customWidth="1"/>
    <x:col min="6" max="6" width="24" hidden="0" customWidth="1"/>
    <x:col min="7" max="7" width="16" hidden="0" customWidth="1"/>
    <x:col min="8" max="8" width="18" hidden="0" customWidth="1"/>
    <x:col min="9" max="9" width="36" hidden="0" customWidth="1"/>
  </x:cols>
  <x:sheetData>
    <x:row r="1" ht="26.25" customHeight="1">
      <x:c r="B1" s="52" t="s">
        <x:v>10</x:v>
      </x:c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</x:row>
    <x:row r="2">
      <x:c r="C2" s="5" t="s">
        <x:v>11</x:v>
      </x:c>
      <x:c r="D2" s="5" t="s">
        <x:v>12</x:v>
      </x:c>
      <x:c r="E2" s="5">
        <x:v>5.7</x:v>
      </x:c>
    </x:row>
    <x:row r="3">
      <x:c r="C3" s="5" t="s">
        <x:v>13</x:v>
      </x:c>
      <x:c r="D3" s="5" t="s">
        <x:v>14</x:v>
      </x:c>
      <x:c r="E3" s="5">
        <x:v>0.4</x:v>
      </x:c>
      <x:c r="Z3" s="51" t="s">
        <x:v>15</x:v>
      </x:c>
      <x:c r="AA3" s="51"/>
      <x:c r="AB3" s="51"/>
      <x:c r="AC3" s="51"/>
      <x:c r="AD3" s="51"/>
    </x:row>
    <x:row r="4">
      <x:c r="C4" s="5" t="s">
        <x:v>16</x:v>
      </x:c>
      <x:c r="D4" s="5" t="s">
        <x:v>17</x:v>
      </x:c>
      <x:c r="E4" s="5">
        <x:v>0.3</x:v>
      </x:c>
    </x:row>
    <x:row r="5">
      <x:c r="C5" s="5" t="s">
        <x:v>18</x:v>
      </x:c>
      <x:c r="D5" s="5" t="s">
        <x:v>19</x:v>
      </x:c>
      <x:c r="E5" s="5">
        <x:v>13.1</x:v>
      </x:c>
    </x:row>
    <x:row r="6">
      <x:c r="C6" s="5" t="s">
        <x:v>20</x:v>
      </x:c>
      <x:c r="D6" s="5" t="s">
        <x:v>21</x:v>
      </x:c>
      <x:c r="E6" s="5">
        <x:v>13.4</x:v>
      </x:c>
    </x:row>
    <x:row r="7">
      <x:c r="C7" s="5" t="s">
        <x:v>22</x:v>
      </x:c>
      <x:c r="D7" s="5" t="s">
        <x:v>23</x:v>
      </x:c>
      <x:c r="E7" s="5">
        <x:v>26.5</x:v>
      </x:c>
    </x:row>
    <x:row r="20">
      <x:c r="S20" s="7"/>
    </x:row>
    <x:row r="21">
      <x:c r="S21" s="7"/>
    </x:row>
    <x:row r="22">
      <x:c r="S22" s="7"/>
    </x:row>
    <x:row r="23">
      <x:c r="S23" s="7"/>
    </x:row>
    <x:row r="24">
      <x:c r="S24" s="7"/>
    </x:row>
    <x:row r="25">
      <x:c r="S25" s="7"/>
    </x:row>
    <x:row r="26">
      <x:c r="S26" s="7"/>
    </x:row>
    <x:row r="27">
      <x:c r="S27" s="7"/>
    </x:row>
    <x:row r="37" ht="15.75">
      <x:c r="B37" s="53" t="s">
        <x:v>24</x:v>
      </x:c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</x:row>
    <x:row r="38">
      <x:c r="B38" s="42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4"/>
    </x:row>
    <x:row r="39">
      <x:c r="B39" s="45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7"/>
    </x:row>
    <x:row r="40">
      <x:c r="B40" s="45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7"/>
    </x:row>
    <x:row r="41">
      <x:c r="B41" s="45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7"/>
    </x:row>
    <x:row r="42">
      <x:c r="B42" s="45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7"/>
    </x:row>
    <x:row r="43">
      <x:c r="B43" s="45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7"/>
    </x:row>
    <x:row r="44">
      <x:c r="B44" s="45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7"/>
    </x:row>
    <x:row r="45">
      <x:c r="B45" s="45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7"/>
    </x:row>
    <x:row r="46" ht="15.75">
      <x:c r="B46" s="48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50"/>
    </x:row>
    <x:row r="48" ht="35" hidden="0" customHeight="1">
      <x:c r="B48" s="398" t="str">
        <x:v>Plan de Acciones (incluido seguimiento de la última revisión)</x:v>
      </x:c>
      <x:c r="C48" s="398"/>
      <x:c r="D48" s="398"/>
      <x:c r="E48" s="398"/>
      <x:c r="F48" s="398"/>
      <x:c r="G48" s="398"/>
      <x:c r="H48" s="398"/>
      <x:c r="I48" s="398"/>
      <x:c r="J48" s="53"/>
      <x:c r="K48" s="53"/>
      <x:c r="L48" s="53"/>
    </x:row>
    <x:row r="49" ht="35" hidden="0" customHeight="1">
      <x:c r="B49" s="410" t="str">
        <x:v>ID</x:v>
      </x:c>
      <x:c r="C49" s="411" t="str">
        <x:v>Indicador / SLA asociado</x:v>
      </x:c>
      <x:c r="D49" s="411" t="str">
        <x:v>Desvío o riesgo observado</x:v>
      </x:c>
      <x:c r="E49" s="411" t="str">
        <x:v>Acción propuesta</x:v>
      </x:c>
      <x:c r="F49" s="411" t="str">
        <x:v>Responsable</x:v>
      </x:c>
      <x:c r="G49" s="411" t="str">
        <x:v>Fecha objetivo</x:v>
      </x:c>
      <x:c r="H49" s="411" t="str">
        <x:v>Estado</x:v>
      </x:c>
      <x:c r="I49" s="411" t="str">
        <x:v>Comentario de seguimiento</x:v>
      </x:c>
      <x:c r="J49" s="43"/>
      <x:c r="K49" s="43"/>
      <x:c r="L49" s="43"/>
      <x:c r="M49" s="43"/>
      <x:c r="N49" s="43"/>
      <x:c r="O49" s="43"/>
      <x:c r="P49" s="44"/>
    </x:row>
    <x:row r="50" ht="35" hidden="0" customHeight="1">
      <x:c r="B50" s="424" t="str">
        <x:v>A01</x:v>
      </x:c>
      <x:c r="C50" s="351" t="str">
        <x:v>KPI_QA03 - Retrabajo</x:v>
      </x:c>
      <x:c r="D50" s="351" t="str">
        <x:v>Retrabajo registrado en abril y junio por ajustes funcionales.</x:v>
      </x:c>
      <x:c r="E50" s="351" t="str">
        <x:v>Reforzar criterios de aceptación y revisión de pares antes de pasar a desarrollo.</x:v>
      </x:c>
      <x:c r="F50" s="351" t="str">
        <x:v>PM + Analistas</x:v>
      </x:c>
      <x:c r="G50" s="351" t="str">
        <x:v>2026-06-15</x:v>
      </x:c>
      <x:c r="H50" s="351" t="str">
        <x:v>En seguimiento</x:v>
      </x:c>
      <x:c r="I50" s="351" t="str">
        <x:v>Reduce CNCA y evita ajustes tardíos.</x:v>
      </x:c>
      <x:c r="J50" s="46"/>
      <x:c r="K50" s="46"/>
      <x:c r="L50" s="46"/>
      <x:c r="M50" s="46"/>
      <x:c r="N50" s="46"/>
      <x:c r="O50" s="46"/>
      <x:c r="P50" s="47"/>
    </x:row>
    <x:row r="51" ht="35" hidden="0" customHeight="1">
      <x:c r="B51" s="424" t="str">
        <x:v>A02</x:v>
      </x:c>
      <x:c r="C51" s="351" t="str">
        <x:v>SLA_SOLE04 - Actualización estado</x:v>
      </x:c>
      <x:c r="D51" s="351" t="str">
        <x:v>Riesgo por conectividad débil en rutas.</x:v>
      </x:c>
      <x:c r="E51" s="351" t="str">
        <x:v>Validar modo offline y sincronización al recuperar señal en piloto.</x:v>
      </x:c>
      <x:c r="F51" s="351" t="str">
        <x:v>Líder Técnico</x:v>
      </x:c>
      <x:c r="G51" s="351" t="str">
        <x:v>2026-06-30</x:v>
      </x:c>
      <x:c r="H51" s="351" t="str">
        <x:v>Planificado</x:v>
      </x:c>
      <x:c r="I51" s="351" t="str">
        <x:v>Relacionado con riesgo de conectividad móvil/GPS.</x:v>
      </x:c>
      <x:c r="J51" s="46"/>
      <x:c r="K51" s="46"/>
      <x:c r="L51" s="46"/>
      <x:c r="M51" s="46"/>
      <x:c r="N51" s="46"/>
      <x:c r="O51" s="46"/>
      <x:c r="P51" s="47"/>
    </x:row>
    <x:row r="52" ht="35" hidden="0" customHeight="1">
      <x:c r="B52" s="424" t="str">
        <x:v>A03</x:v>
      </x:c>
      <x:c r="C52" s="351" t="str">
        <x:v>KPI_ADO01 - Capacitación</x:v>
      </x:c>
      <x:c r="D52" s="351" t="str">
        <x:v>Riesgo de resistencia al cambio de choferes.</x:v>
      </x:c>
      <x:c r="E52" s="351" t="str">
        <x:v>Realizar capacitación práctica con escenarios reales de entrega y checklist de uso.</x:v>
      </x:c>
      <x:c r="F52" s="351" t="str">
        <x:v>Analistas Funcionales</x:v>
      </x:c>
      <x:c r="G52" s="351" t="str">
        <x:v>2026-06-20</x:v>
      </x:c>
      <x:c r="H52" s="351" t="str">
        <x:v>Planificado</x:v>
      </x:c>
      <x:c r="I52" s="351" t="str">
        <x:v>Alineado al plan de adopción.</x:v>
      </x:c>
      <x:c r="J52" s="46"/>
      <x:c r="K52" s="46"/>
      <x:c r="L52" s="46"/>
      <x:c r="M52" s="46"/>
      <x:c r="N52" s="46"/>
      <x:c r="O52" s="46"/>
      <x:c r="P52" s="47"/>
    </x:row>
    <x:row r="53" ht="35" hidden="0" customHeight="1">
      <x:c r="B53" s="424" t="str">
        <x:v>A04</x:v>
      </x:c>
      <x:c r="C53" s="351" t="str">
        <x:v>SLA_SOLE06 - Integración Tango</x:v>
      </x:c>
      <x:c r="D53" s="351" t="str">
        <x:v>Dependencia técnica de la API ERP Tango.</x:v>
      </x:c>
      <x:c r="E53" s="351" t="str">
        <x:v>Ejecutar pruebas de integración y regresión con datos de pedidos simulados.</x:v>
      </x:c>
      <x:c r="F53" s="351" t="str">
        <x:v>Líder Técnico + QA</x:v>
      </x:c>
      <x:c r="G53" s="351" t="str">
        <x:v>2026-06-25</x:v>
      </x:c>
      <x:c r="H53" s="351" t="str">
        <x:v>En curso</x:v>
      </x:c>
      <x:c r="I53" s="351" t="str">
        <x:v>Control preventivo antes del piloto.</x:v>
      </x:c>
      <x:c r="J53" s="46"/>
      <x:c r="K53" s="46"/>
      <x:c r="L53" s="46"/>
      <x:c r="M53" s="46"/>
      <x:c r="N53" s="46"/>
      <x:c r="O53" s="46"/>
      <x:c r="P53" s="47"/>
    </x:row>
    <x:row r="54">
      <x:c r="B54" s="45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7"/>
    </x:row>
    <x:row r="55">
      <x:c r="B55" s="45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7"/>
    </x:row>
    <x:row r="56">
      <x:c r="B56" s="45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7"/>
    </x:row>
    <x:row r="57" ht="15.75">
      <x:c r="B57" s="48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50"/>
    </x:row>
  </x:sheetData>
  <x:mergeCells>
    <x:mergeCell ref="B49:P57"/>
    <x:mergeCell ref="Z3:AD3"/>
    <x:mergeCell ref="B1:Q1"/>
    <x:mergeCell ref="B37:L37"/>
    <x:mergeCell ref="B38:P46"/>
    <x:mergeCell ref="B48:L48"/>
    <x:mergeCell ref="B48:I48"/>
  </x:mergeCells>
  <x:pageMargins left="0.7" right="0.7" top="0.75" bottom="0.75" header="0.3" footer="0.3"/>
  <x:drawing xmlns:r="http://schemas.openxmlformats.org/officeDocument/2006/relationships" r:id="R94082df1bcaf4def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44" hidden="0" customWidth="1"/>
    <x:col min="5" max="5" width="18" hidden="0" customWidth="1"/>
    <x:col min="6" max="6" width="18" hidden="0" customWidth="1"/>
    <x:col min="7" max="7" width="22" hidden="0" customWidth="1"/>
    <x:col min="8" max="8" width="32" hidden="0" customWidth="1"/>
    <x:col min="9" max="9" width="26" hidden="0" customWidth="1"/>
  </x:cols>
  <x:sheetData>
    <x:row r="1" ht="28" hidden="0" customHeight="1">
      <x:c r="A1" s="251" t="str">
        <x:v>Matriz de KPIs del Proyecto SOLE</x:v>
      </x:c>
      <x:c r="B1" s="251"/>
      <x:c r="C1" s="251"/>
      <x:c r="D1" s="251"/>
      <x:c r="E1" s="251"/>
      <x:c r="F1" s="251"/>
      <x:c r="G1" s="251"/>
      <x:c r="H1" s="251"/>
      <x:c r="I1" s="251"/>
    </x:row>
    <x:row r="2" ht="28" hidden="0" customHeight="1">
      <x:c r="A2" s="147" t="str">
        <x:v>Código</x:v>
      </x:c>
      <x:c r="B2" s="147" t="str">
        <x:v>KPI</x:v>
      </x:c>
      <x:c r="C2" s="147" t="str">
        <x:v>Tipo</x:v>
      </x:c>
      <x:c r="D2" s="147" t="str">
        <x:v>Fórmula / Criterio de medición</x:v>
      </x:c>
      <x:c r="E2" s="147" t="str">
        <x:v>Objetivo</x:v>
      </x:c>
      <x:c r="F2" s="147" t="str">
        <x:v>Umbral alerta</x:v>
      </x:c>
      <x:c r="G2" s="147" t="str">
        <x:v>Frecuencia</x:v>
      </x:c>
      <x:c r="H2" s="147" t="str">
        <x:v>Fuente</x:v>
      </x:c>
      <x:c r="I2" s="147" t="str">
        <x:v>Responsable</x:v>
      </x:c>
    </x:row>
    <x:row r="3" ht="42" hidden="0" customHeight="1">
      <x:c r="A3" s="345" t="str">
        <x:v>KPI_PM01</x:v>
      </x:c>
      <x:c r="B3" s="345" t="str">
        <x:v>Cumplimiento de cronograma</x:v>
      </x:c>
      <x:c r="C3" s="345" t="str">
        <x:v>Gestión</x:v>
      </x:c>
      <x:c r="D3" s="345" t="str">
        <x:v>SPI = EV / PV</x:v>
      </x:c>
      <x:c r="E3" s="345" t="str">
        <x:v>SPI ≥ 0,95</x:v>
      </x:c>
      <x:c r="F3" s="345" t="str">
        <x:v>SPI &lt; 0,95</x:v>
      </x:c>
      <x:c r="G3" s="345" t="str">
        <x:v>Mensual</x:v>
      </x:c>
      <x:c r="H3" s="345" t="str">
        <x:v>Tablero de control / ProjectLibre</x:v>
      </x:c>
      <x:c r="I3" s="345" t="str">
        <x:v>Project Manager</x:v>
      </x:c>
    </x:row>
    <x:row r="4" ht="42" hidden="0" customHeight="1">
      <x:c r="A4" s="345" t="str">
        <x:v>KPI_PM02</x:v>
      </x:c>
      <x:c r="B4" s="345" t="str">
        <x:v>Cumplimiento de presupuesto</x:v>
      </x:c>
      <x:c r="C4" s="345" t="str">
        <x:v>Gestión</x:v>
      </x:c>
      <x:c r="D4" s="345" t="str">
        <x:v>CPI = EV / AC</x:v>
      </x:c>
      <x:c r="E4" s="345" t="str">
        <x:v>CPI ≥ 1,00</x:v>
      </x:c>
      <x:c r="F4" s="345" t="str">
        <x:v>CPI &lt; 0,95</x:v>
      </x:c>
      <x:c r="G4" s="345" t="str">
        <x:v>Mensual</x:v>
      </x:c>
      <x:c r="H4" s="345" t="str">
        <x:v>Tablero de control / Costos</x:v>
      </x:c>
      <x:c r="I4" s="345" t="str">
        <x:v>Project Manager</x:v>
      </x:c>
    </x:row>
    <x:row r="5" ht="42" hidden="0" customHeight="1">
      <x:c r="A5" s="345" t="str">
        <x:v>KPI_QA01</x:v>
      </x:c>
      <x:c r="B5" s="345" t="str">
        <x:v>Aceptación de requerimientos UAT</x:v>
      </x:c>
      <x:c r="C5" s="345" t="str">
        <x:v>Calidad</x:v>
      </x:c>
      <x:c r="D5" s="345" t="str">
        <x:v>Requerimientos aceptados / requerimientos validados</x:v>
      </x:c>
      <x:c r="E5" s="345" t="str">
        <x:v>≥ 95%</x:v>
      </x:c>
      <x:c r="F5" s="345" t="str">
        <x:v>&lt; 90%</x:v>
      </x:c>
      <x:c r="G5" s="345" t="str">
        <x:v>Por hito</x:v>
      </x:c>
      <x:c r="H5" s="345" t="str">
        <x:v>Actas UAT / Casos de prueba</x:v>
      </x:c>
      <x:c r="I5" s="345" t="str">
        <x:v>QA + Analistas</x:v>
      </x:c>
    </x:row>
    <x:row r="6" ht="42" hidden="0" customHeight="1">
      <x:c r="A6" s="345" t="str">
        <x:v>KPI_QA02</x:v>
      </x:c>
      <x:c r="B6" s="345" t="str">
        <x:v>Defectos críticos abiertos</x:v>
      </x:c>
      <x:c r="C6" s="345" t="str">
        <x:v>Calidad</x:v>
      </x:c>
      <x:c r="D6" s="345" t="str">
        <x:v>Cantidad de defectos críticos abiertos al cierre del período</x:v>
      </x:c>
      <x:c r="E6" s="345" t="str">
        <x:v>0</x:v>
      </x:c>
      <x:c r="F6" s="345" t="str">
        <x:v>&gt; 1</x:v>
      </x:c>
      <x:c r="G6" s="345" t="str">
        <x:v>Semanal durante testing</x:v>
      </x:c>
      <x:c r="H6" s="345" t="str">
        <x:v>Registro de defectos</x:v>
      </x:c>
      <x:c r="I6" s="345" t="str">
        <x:v>QA / Tester</x:v>
      </x:c>
    </x:row>
    <x:row r="7" ht="42" hidden="0" customHeight="1">
      <x:c r="A7" s="345" t="str">
        <x:v>KPI_QA03</x:v>
      </x:c>
      <x:c r="B7" s="345" t="str">
        <x:v>Retrabajo sobre esfuerzo mensual</x:v>
      </x:c>
      <x:c r="C7" s="345" t="str">
        <x:v>Calidad</x:v>
      </x:c>
      <x:c r="D7" s="345" t="str">
        <x:v>Horas de retrabajo / horas totales del período</x:v>
      </x:c>
      <x:c r="E7" s="345" t="str">
        <x:v>≤ 8%</x:v>
      </x:c>
      <x:c r="F7" s="345" t="str">
        <x:v>&gt; 10%</x:v>
      </x:c>
      <x:c r="G7" s="345" t="str">
        <x:v>Mensual</x:v>
      </x:c>
      <x:c r="H7" s="345" t="str">
        <x:v>Planilla KPIs Calidad</x:v>
      </x:c>
      <x:c r="I7" s="345" t="str">
        <x:v>PM + Líder Técnico</x:v>
      </x:c>
    </x:row>
    <x:row r="8" ht="42" hidden="0" customHeight="1">
      <x:c r="A8" s="345" t="str">
        <x:v>KPI_INT01</x:v>
      </x:c>
      <x:c r="B8" s="345" t="str">
        <x:v>Transacciones ERP Tango exitosas</x:v>
      </x:c>
      <x:c r="C8" s="345" t="str">
        <x:v>Integración</x:v>
      </x:c>
      <x:c r="D8" s="345" t="str">
        <x:v>Transacciones exitosas / transacciones totales</x:v>
      </x:c>
      <x:c r="E8" s="345" t="str">
        <x:v>≥ 98%</x:v>
      </x:c>
      <x:c r="F8" s="345" t="str">
        <x:v>&lt; 95%</x:v>
      </x:c>
      <x:c r="G8" s="345" t="str">
        <x:v>Mensual</x:v>
      </x:c>
      <x:c r="H8" s="345" t="str">
        <x:v>Logs API / Pruebas integración</x:v>
      </x:c>
      <x:c r="I8" s="345" t="str">
        <x:v>Líder Técnico</x:v>
      </x:c>
    </x:row>
    <x:row r="9" ht="42" hidden="0" customHeight="1">
      <x:c r="A9" s="345" t="str">
        <x:v>KPI_OP01</x:v>
      </x:c>
      <x:c r="B9" s="345" t="str">
        <x:v>Entregas con evidencia digital válida</x:v>
      </x:c>
      <x:c r="C9" s="345" t="str">
        <x:v>Operativo</x:v>
      </x:c>
      <x:c r="D9" s="345" t="str">
        <x:v>Entregas con foto/remito válido / entregas piloto</x:v>
      </x:c>
      <x:c r="E9" s="345" t="str">
        <x:v>≥ 95%</x:v>
      </x:c>
      <x:c r="F9" s="345" t="str">
        <x:v>&lt; 90%</x:v>
      </x:c>
      <x:c r="G9" s="345" t="str">
        <x:v>Semanal durante piloto</x:v>
      </x:c>
      <x:c r="H9" s="345" t="str">
        <x:v>App repartidor / Backoffice</x:v>
      </x:c>
      <x:c r="I9" s="345" t="str">
        <x:v>Coordinador Logístico</x:v>
      </x:c>
    </x:row>
    <x:row r="10" ht="42" hidden="0" customHeight="1">
      <x:c r="A10" s="345" t="str">
        <x:v>KPI_OP02</x:v>
      </x:c>
      <x:c r="B10" s="345" t="str">
        <x:v>Eventos de entrega actualizados en tiempo</x:v>
      </x:c>
      <x:c r="C10" s="345" t="str">
        <x:v>Operativo</x:v>
      </x:c>
      <x:c r="D10" s="345" t="str">
        <x:v>Eventos actualizados ≤ 5 min / eventos totales</x:v>
      </x:c>
      <x:c r="E10" s="345" t="str">
        <x:v>≥ 90%</x:v>
      </x:c>
      <x:c r="F10" s="345" t="str">
        <x:v>&lt; 85%</x:v>
      </x:c>
      <x:c r="G10" s="345" t="str">
        <x:v>Semanal durante piloto</x:v>
      </x:c>
      <x:c r="H10" s="345" t="str">
        <x:v>Backoffice / Logs app</x:v>
      </x:c>
      <x:c r="I10" s="345" t="str">
        <x:v>Coordinador Logístico</x:v>
      </x:c>
    </x:row>
    <x:row r="11" ht="42" hidden="0" customHeight="1">
      <x:c r="A11" s="345" t="str">
        <x:v>KPI_OP03</x:v>
      </x:c>
      <x:c r="B11" s="345" t="str">
        <x:v>Sincronización GPS exitosa</x:v>
      </x:c>
      <x:c r="C11" s="345" t="str">
        <x:v>Operativo/Técnico</x:v>
      </x:c>
      <x:c r="D11" s="345" t="str">
        <x:v>Puntos GPS recibidos / puntos esperados</x:v>
      </x:c>
      <x:c r="E11" s="345" t="str">
        <x:v>≥ 95%</x:v>
      </x:c>
      <x:c r="F11" s="345" t="str">
        <x:v>&lt; 90%</x:v>
      </x:c>
      <x:c r="G11" s="345" t="str">
        <x:v>Semanal durante piloto</x:v>
      </x:c>
      <x:c r="H11" s="345" t="str">
        <x:v>GPS móvil / Servicio mapas</x:v>
      </x:c>
      <x:c r="I11" s="345" t="str">
        <x:v>Líder Técnico</x:v>
      </x:c>
    </x:row>
    <x:row r="12" ht="42" hidden="0" customHeight="1">
      <x:c r="A12" s="345" t="str">
        <x:v>KPI_ADO01</x:v>
      </x:c>
      <x:c r="B12" s="345" t="str">
        <x:v>Usuarios capacitados y habilitados</x:v>
      </x:c>
      <x:c r="C12" s="345" t="str">
        <x:v>Adopción</x:v>
      </x:c>
      <x:c r="D12" s="345" t="str">
        <x:v>Usuarios aprobados en capacitación / usuarios objetivo</x:v>
      </x:c>
      <x:c r="E12" s="345" t="str">
        <x:v>≥ 90%</x:v>
      </x:c>
      <x:c r="F12" s="345" t="str">
        <x:v>&lt; 80%</x:v>
      </x:c>
      <x:c r="G12" s="345" t="str">
        <x:v>Antes del piloto</x:v>
      </x:c>
      <x:c r="H12" s="345" t="str">
        <x:v>Lista de asistencia / Evaluación</x:v>
      </x:c>
      <x:c r="I12" s="345" t="str">
        <x:v>Analistas Funcionales</x:v>
      </x:c>
    </x:row>
    <x:row r="13" ht="42" hidden="0" customHeight="1">
      <x:c r="A13" s="345" t="str">
        <x:v>KPI_COM01</x:v>
      </x:c>
      <x:c r="B13" s="345" t="str">
        <x:v>Cumplimiento de reportes ejecutivos</x:v>
      </x:c>
      <x:c r="C13" s="345" t="str">
        <x:v>Comunicación</x:v>
      </x:c>
      <x:c r="D13" s="345" t="str">
        <x:v>Reportes entregados en fecha / reportes comprometidos</x:v>
      </x:c>
      <x:c r="E13" s="345" t="str">
        <x:v>100%</x:v>
      </x:c>
      <x:c r="F13" s="345" t="str">
        <x:v>&lt; 100%</x:v>
      </x:c>
      <x:c r="G13" s="345" t="str">
        <x:v>Mensual / hito</x:v>
      </x:c>
      <x:c r="H13" s="345" t="str">
        <x:v>Plan de comunicaciones</x:v>
      </x:c>
      <x:c r="I13" s="345" t="str">
        <x:v>Project Manager</x:v>
      </x:c>
    </x:row>
    <x:row r="14" ht="15" hidden="0" customHeight="1">
      <x:c r="A14" s="294"/>
      <x:c r="B14" s="294"/>
      <x:c r="C14" s="294"/>
      <x:c r="D14" s="294"/>
      <x:c r="E14" s="294"/>
      <x:c r="F14" s="294"/>
      <x:c r="G14" s="294"/>
      <x:c r="H14" s="294"/>
      <x:c r="I14" s="294"/>
    </x:row>
    <x:row r="15" ht="52" hidden="0" customHeight="1">
      <x:c r="A15" s="283" t="str">
        <x:v>Criterio de selección</x:v>
      </x:c>
      <x:c r="B15" s="283" t="str">
        <x:v>Se incorporan KPIs de gestión, calidad, integración, operación y adopción porque SOLE no es solo desarrollo de software: modifica la operación de logística y requiere control de aceptación, uso y estabilidad durante el piloto.</x:v>
      </x:c>
      <x:c r="C15" s="283"/>
      <x:c r="D15" s="283"/>
      <x:c r="E15" s="283"/>
      <x:c r="F15" s="283"/>
      <x:c r="G15" s="283"/>
      <x:c r="H15" s="283"/>
      <x:c r="I15" s="283"/>
    </x:row>
  </x:sheetData>
  <x:mergeCells>
    <x:mergeCell ref="A1:I1"/>
    <x:mergeCell ref="B15:I15"/>
  </x:mergeCells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8C7AAA85BDEA44A2C2E8B2B1E4EDE7" ma:contentTypeVersion="7" ma:contentTypeDescription="Crear nuevo documento." ma:contentTypeScope="" ma:versionID="faded0a90c4b385d72d135f70283fc23">
  <xsd:schema xmlns:xsd="http://www.w3.org/2001/XMLSchema" xmlns:xs="http://www.w3.org/2001/XMLSchema" xmlns:p="http://schemas.microsoft.com/office/2006/metadata/properties" xmlns:ns2="b5341521-d5d0-4a19-b457-eede4ccbfa54" targetNamespace="http://schemas.microsoft.com/office/2006/metadata/properties" ma:root="true" ma:fieldsID="77a8e7b8a0b8e8a8cb35ebe6cb051a2c" ns2:_="">
    <xsd:import namespace="b5341521-d5d0-4a19-b457-eede4ccbfa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341521-d5d0-4a19-b457-eede4ccbfa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1CE795-C608-404A-AF90-044D9C74B8B4}"/>
</file>

<file path=customXml/itemProps2.xml><?xml version="1.0" encoding="utf-8"?>
<ds:datastoreItem xmlns:ds="http://schemas.openxmlformats.org/officeDocument/2006/customXml" ds:itemID="{42114938-35FE-4716-86C6-7E13512AD0CC}"/>
</file>

<file path=customXml/itemProps3.xml><?xml version="1.0" encoding="utf-8"?>
<ds:datastoreItem xmlns:ds="http://schemas.openxmlformats.org/officeDocument/2006/customXml" ds:itemID="{66EC74F4-01CA-406F-AABD-A82FE21F4E4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0x010100508C7AAA85BDEA44A2C2E8B2B1E4EDE7</vt:lpwstr>
  </property>
</Properties>
</file>